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richData/rdrichvalue.xml" ContentType="application/vnd.ms-excel.rdrichvalue+xml"/>
  <Override PartName="/xl/richData/rdsupportingpropertybag.xml" ContentType="application/vnd.ms-excel.rdsupportingpropertybag+xml"/>
  <Override PartName="/xl/richData/rdRichValueWebImage.xml" ContentType="application/vnd.ms-excel.rdrichvaluewebimage+xml"/>
  <Override PartName="/xl/richData/rdsupportingpropertybagstructure.xml" ContentType="application/vnd.ms-excel.rdsupportingpropertybagstructure+xml"/>
  <Override PartName="/xl/richData/richStyles.xml" ContentType="application/vnd.ms-excel.richstyles+xml"/>
  <Override PartName="/xl/richData/rdarray.xml" ContentType="application/vnd.ms-excel.rdarray+xml"/>
  <Override PartName="/xl/richData/rdRichValueTypes.xml" ContentType="application/vnd.ms-excel.rdrichvaluetypes+xml"/>
  <Override PartName="/xl/richData/rdrichvaluestructure.xml" ContentType="application/vnd.ms-excel.rdrichvaluestruc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excel-estudos\"/>
    </mc:Choice>
  </mc:AlternateContent>
  <bookViews>
    <workbookView xWindow="0" yWindow="0" windowWidth="17256" windowHeight="5688" tabRatio="843" activeTab="6"/>
  </bookViews>
  <sheets>
    <sheet name="CSV" sheetId="2" r:id="rId1"/>
    <sheet name="Formatado" sheetId="3" r:id="rId2"/>
    <sheet name="Análise 1 - CONT.SES" sheetId="4" r:id="rId3"/>
    <sheet name="Análise 2 - PROCV" sheetId="5" r:id="rId4"/>
    <sheet name="Análise 3 - PROCV" sheetId="6" r:id="rId5"/>
    <sheet name="Análise 4 - Função SE" sheetId="7" r:id="rId6"/>
    <sheet name="Análise 5 - Função SE" sheetId="8" r:id="rId7"/>
  </sheets>
  <definedNames>
    <definedName name="_xlnm._FilterDatabase" localSheetId="4" hidden="1">'Análise 3 - PROCV'!$E$1:$F$23</definedName>
    <definedName name="_xlnm._FilterDatabase" localSheetId="5" hidden="1">'Análise 4 - Função SE'!#REF!</definedName>
    <definedName name="_xlnm._FilterDatabase" localSheetId="6" hidden="1">'Análise 5 - Função SE'!#REF!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3" i="7" l="1"/>
  <c r="C12" i="7"/>
  <c r="C11" i="7"/>
  <c r="C10" i="7"/>
  <c r="C9" i="7"/>
  <c r="C8" i="7"/>
  <c r="C7" i="7"/>
  <c r="C6" i="7"/>
  <c r="C5" i="7"/>
  <c r="C3" i="7"/>
  <c r="C4" i="7"/>
  <c r="C2" i="7"/>
  <c r="C23" i="6"/>
  <c r="C24" i="6"/>
  <c r="C25" i="6"/>
  <c r="C26" i="6"/>
  <c r="C27" i="6"/>
  <c r="C20" i="6"/>
  <c r="C21" i="6"/>
  <c r="C22" i="6"/>
  <c r="C18" i="6"/>
  <c r="C19" i="6"/>
  <c r="C17" i="6"/>
  <c r="C15" i="6"/>
  <c r="C16" i="6"/>
  <c r="C13" i="6"/>
  <c r="C14" i="6"/>
  <c r="C11" i="6"/>
  <c r="C12" i="6"/>
  <c r="C10" i="6"/>
  <c r="C5" i="6"/>
  <c r="C6" i="6"/>
  <c r="C7" i="6"/>
  <c r="C8" i="6"/>
  <c r="C9" i="6"/>
  <c r="C4" i="6"/>
  <c r="C3" i="6"/>
  <c r="C2" i="6"/>
  <c r="K6" i="5"/>
  <c r="K3" i="5"/>
  <c r="K13" i="4"/>
  <c r="K9" i="4"/>
  <c r="K8" i="4"/>
  <c r="K7" i="4"/>
  <c r="K6" i="4"/>
  <c r="K5" i="4"/>
  <c r="K4" i="4"/>
  <c r="K3" i="4"/>
  <c r="C3" i="8" l="1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2" i="8"/>
  <c r="C14" i="7"/>
  <c r="C15" i="7"/>
  <c r="C16" i="7"/>
  <c r="C17" i="7"/>
  <c r="C18" i="7"/>
  <c r="C19" i="7"/>
  <c r="C20" i="7"/>
  <c r="C21" i="7"/>
  <c r="C22" i="7"/>
  <c r="C23" i="7"/>
  <c r="C24" i="7"/>
  <c r="C25" i="7"/>
  <c r="C26" i="7"/>
  <c r="C27" i="7"/>
  <c r="C28" i="7"/>
  <c r="C29" i="7"/>
  <c r="C30" i="7"/>
  <c r="C31" i="7"/>
  <c r="C32" i="7"/>
  <c r="C33" i="7"/>
  <c r="C34" i="7"/>
  <c r="C35" i="7"/>
  <c r="C36" i="7"/>
  <c r="C37" i="7"/>
  <c r="C38" i="7"/>
  <c r="C39" i="7"/>
  <c r="C40" i="7"/>
  <c r="C41" i="7"/>
  <c r="C42" i="7"/>
  <c r="C43" i="7"/>
  <c r="C44" i="7"/>
  <c r="C45" i="7"/>
  <c r="C46" i="7"/>
  <c r="C47" i="7"/>
  <c r="C48" i="7"/>
  <c r="C49" i="7"/>
  <c r="C50" i="7"/>
  <c r="C51" i="7"/>
  <c r="C52" i="7"/>
  <c r="C53" i="7"/>
  <c r="C54" i="7"/>
  <c r="C55" i="7"/>
  <c r="C56" i="7"/>
  <c r="C57" i="7"/>
  <c r="C58" i="7"/>
  <c r="C59" i="7"/>
  <c r="C60" i="7"/>
  <c r="C61" i="7"/>
  <c r="C62" i="7"/>
  <c r="C63" i="7"/>
  <c r="C64" i="7"/>
  <c r="C65" i="7"/>
  <c r="C66" i="7"/>
  <c r="C67" i="7"/>
  <c r="C68" i="7"/>
  <c r="C69" i="7"/>
  <c r="C70" i="7"/>
  <c r="C71" i="7"/>
  <c r="C72" i="7"/>
  <c r="C73" i="7"/>
  <c r="C74" i="7"/>
  <c r="C75" i="7"/>
  <c r="C76" i="7"/>
  <c r="C77" i="7"/>
  <c r="C78" i="7"/>
  <c r="C79" i="7"/>
  <c r="C80" i="7"/>
  <c r="C81" i="7"/>
  <c r="C82" i="7"/>
  <c r="C83" i="7"/>
  <c r="C84" i="7"/>
  <c r="C85" i="7"/>
  <c r="C86" i="7"/>
  <c r="C87" i="7"/>
  <c r="C88" i="7"/>
  <c r="C89" i="7"/>
  <c r="C90" i="7"/>
  <c r="C91" i="7"/>
  <c r="C92" i="7"/>
  <c r="C93" i="7"/>
  <c r="C94" i="7"/>
  <c r="C95" i="7"/>
  <c r="C96" i="7"/>
  <c r="C97" i="7"/>
  <c r="C98" i="7"/>
  <c r="K12" i="5"/>
  <c r="D98" i="5"/>
  <c r="D97" i="5"/>
  <c r="D96" i="5"/>
  <c r="D95" i="5"/>
  <c r="D94" i="5"/>
  <c r="D93" i="5"/>
  <c r="D92" i="5"/>
  <c r="D91" i="5"/>
  <c r="D90" i="5"/>
  <c r="D89" i="5"/>
  <c r="D88" i="5"/>
  <c r="D87" i="5"/>
  <c r="D86" i="5"/>
  <c r="D85" i="5"/>
  <c r="D84" i="5"/>
  <c r="D83" i="5"/>
  <c r="D82" i="5"/>
  <c r="D81" i="5"/>
  <c r="D80" i="5"/>
  <c r="D79" i="5"/>
  <c r="D78" i="5"/>
  <c r="D77" i="5"/>
  <c r="D76" i="5"/>
  <c r="D75" i="5"/>
  <c r="D74" i="5"/>
  <c r="D73" i="5"/>
  <c r="D72" i="5"/>
  <c r="D71" i="5"/>
  <c r="D70" i="5"/>
  <c r="D69" i="5"/>
  <c r="D68" i="5"/>
  <c r="D67" i="5"/>
  <c r="D66" i="5"/>
  <c r="D65" i="5"/>
  <c r="D64" i="5"/>
  <c r="D63" i="5"/>
  <c r="D62" i="5"/>
  <c r="D61" i="5"/>
  <c r="D60" i="5"/>
  <c r="D59" i="5"/>
  <c r="D58" i="5"/>
  <c r="D57" i="5"/>
  <c r="D56" i="5"/>
  <c r="D55" i="5"/>
  <c r="D54" i="5"/>
  <c r="D53" i="5"/>
  <c r="D52" i="5"/>
  <c r="D51" i="5"/>
  <c r="D50" i="5"/>
  <c r="D49" i="5"/>
  <c r="D48" i="5"/>
  <c r="D47" i="5"/>
  <c r="D46" i="5"/>
  <c r="D45" i="5"/>
  <c r="D44" i="5"/>
  <c r="D43" i="5"/>
  <c r="D42" i="5"/>
  <c r="D41" i="5"/>
  <c r="D40" i="5"/>
  <c r="D39" i="5"/>
  <c r="D38" i="5"/>
  <c r="D37" i="5"/>
  <c r="D36" i="5"/>
  <c r="D35" i="5"/>
  <c r="D34" i="5"/>
  <c r="D33" i="5"/>
  <c r="D32" i="5"/>
  <c r="D31" i="5"/>
  <c r="D30" i="5"/>
  <c r="D29" i="5"/>
  <c r="D28" i="5"/>
  <c r="D27" i="5"/>
  <c r="D26" i="5"/>
  <c r="D25" i="5"/>
  <c r="D24" i="5"/>
  <c r="D23" i="5"/>
  <c r="D22" i="5"/>
  <c r="D21" i="5"/>
  <c r="D20" i="5"/>
  <c r="D19" i="5"/>
  <c r="D18" i="5"/>
  <c r="K9" i="5" s="1"/>
  <c r="D17" i="5"/>
  <c r="D16" i="5"/>
  <c r="D15" i="5"/>
  <c r="D14" i="5"/>
  <c r="D13" i="5"/>
  <c r="D12" i="5"/>
  <c r="D11" i="5"/>
  <c r="D10" i="5"/>
  <c r="D9" i="5"/>
  <c r="D8" i="5"/>
  <c r="D7" i="5"/>
  <c r="D6" i="5"/>
  <c r="D5" i="5"/>
  <c r="D4" i="5"/>
  <c r="D3" i="5"/>
  <c r="D2" i="5"/>
  <c r="H2" i="3" a="1"/>
  <c r="H2" i="3" s="1"/>
  <c r="H3" i="3" a="1"/>
  <c r="H3" i="3" s="1"/>
  <c r="H4" i="3" a="1"/>
  <c r="H4" i="3" s="1"/>
  <c r="H5" i="3" a="1"/>
  <c r="H5" i="3" s="1"/>
  <c r="H6" i="3" a="1"/>
  <c r="H6" i="3" s="1"/>
  <c r="H7" i="3" a="1"/>
  <c r="H7" i="3" s="1"/>
  <c r="H8" i="3" a="1"/>
  <c r="H8" i="3" s="1"/>
  <c r="H9" i="3" a="1"/>
  <c r="H9" i="3" s="1"/>
  <c r="H10" i="3" a="1"/>
  <c r="H10" i="3" s="1"/>
  <c r="H11" i="3" a="1"/>
  <c r="H11" i="3" s="1"/>
  <c r="H12" i="3" a="1"/>
  <c r="H12" i="3" s="1"/>
  <c r="H13" i="3" a="1"/>
  <c r="H13" i="3" s="1"/>
  <c r="H14" i="3" a="1"/>
  <c r="H14" i="3" s="1"/>
  <c r="H15" i="3" a="1"/>
  <c r="H15" i="3" s="1"/>
  <c r="H16" i="3" a="1"/>
  <c r="H16" i="3" s="1"/>
  <c r="H17" i="3" a="1"/>
  <c r="H17" i="3" s="1"/>
  <c r="H18" i="3" a="1"/>
  <c r="H18" i="3" s="1"/>
  <c r="H19" i="3" a="1"/>
  <c r="H19" i="3" s="1"/>
  <c r="H20" i="3" a="1"/>
  <c r="H20" i="3" s="1"/>
  <c r="H21" i="3" a="1"/>
  <c r="H21" i="3" s="1"/>
  <c r="H22" i="3" a="1"/>
  <c r="H22" i="3" s="1"/>
  <c r="H23" i="3" a="1"/>
  <c r="H23" i="3" s="1"/>
  <c r="H24" i="3" a="1"/>
  <c r="H24" i="3" s="1"/>
  <c r="H25" i="3" a="1"/>
  <c r="H25" i="3" s="1"/>
  <c r="H26" i="3" a="1"/>
  <c r="H26" i="3" s="1"/>
  <c r="H27" i="3" a="1"/>
  <c r="H27" i="3" s="1"/>
  <c r="H28" i="3" a="1"/>
  <c r="H28" i="3" s="1"/>
  <c r="H29" i="3" a="1"/>
  <c r="H29" i="3" s="1"/>
  <c r="H30" i="3" a="1"/>
  <c r="H30" i="3" s="1"/>
  <c r="H31" i="3" a="1"/>
  <c r="H31" i="3" s="1"/>
  <c r="H32" i="3" a="1"/>
  <c r="H32" i="3" s="1"/>
  <c r="H33" i="3" a="1"/>
  <c r="H33" i="3" s="1"/>
  <c r="H34" i="3" a="1"/>
  <c r="H34" i="3" s="1"/>
  <c r="H35" i="3" a="1"/>
  <c r="H35" i="3" s="1"/>
  <c r="H36" i="3" a="1"/>
  <c r="H36" i="3" s="1"/>
  <c r="H37" i="3" a="1"/>
  <c r="H37" i="3" s="1"/>
  <c r="H38" i="3" a="1"/>
  <c r="H38" i="3" s="1"/>
  <c r="H39" i="3" a="1"/>
  <c r="H39" i="3" s="1"/>
  <c r="H40" i="3" a="1"/>
  <c r="H40" i="3" s="1"/>
  <c r="H41" i="3" a="1"/>
  <c r="H41" i="3" s="1"/>
  <c r="H42" i="3" a="1"/>
  <c r="H42" i="3" s="1"/>
  <c r="H43" i="3" a="1"/>
  <c r="H43" i="3" s="1"/>
  <c r="H44" i="3" a="1"/>
  <c r="H44" i="3" s="1"/>
  <c r="H45" i="3" a="1"/>
  <c r="H45" i="3" s="1"/>
  <c r="H46" i="3" a="1"/>
  <c r="H46" i="3" s="1"/>
  <c r="H47" i="3" a="1"/>
  <c r="H47" i="3" s="1"/>
  <c r="H48" i="3" a="1"/>
  <c r="H48" i="3" s="1"/>
  <c r="H49" i="3" a="1"/>
  <c r="H49" i="3" s="1"/>
  <c r="H50" i="3" a="1"/>
  <c r="H50" i="3" s="1"/>
  <c r="H51" i="3" a="1"/>
  <c r="H51" i="3" s="1"/>
  <c r="H52" i="3" a="1"/>
  <c r="H52" i="3" s="1"/>
  <c r="H53" i="3" a="1"/>
  <c r="H53" i="3" s="1"/>
  <c r="H54" i="3" a="1"/>
  <c r="H54" i="3" s="1"/>
  <c r="H55" i="3" a="1"/>
  <c r="H55" i="3" s="1"/>
  <c r="H56" i="3" a="1"/>
  <c r="H56" i="3" s="1"/>
  <c r="H57" i="3" a="1"/>
  <c r="H57" i="3" s="1"/>
  <c r="H58" i="3" a="1"/>
  <c r="H58" i="3" s="1"/>
  <c r="H59" i="3" a="1"/>
  <c r="H59" i="3" s="1"/>
  <c r="H60" i="3" a="1"/>
  <c r="H60" i="3" s="1"/>
  <c r="H61" i="3" a="1"/>
  <c r="H61" i="3" s="1"/>
  <c r="H62" i="3" a="1"/>
  <c r="H62" i="3" s="1"/>
  <c r="H63" i="3" a="1"/>
  <c r="H63" i="3" s="1"/>
  <c r="H64" i="3" a="1"/>
  <c r="H64" i="3" s="1"/>
  <c r="H65" i="3" a="1"/>
  <c r="H65" i="3" s="1"/>
  <c r="H66" i="3" a="1"/>
  <c r="H66" i="3" s="1"/>
  <c r="H67" i="3" a="1"/>
  <c r="H67" i="3" s="1"/>
  <c r="H68" i="3" a="1"/>
  <c r="H68" i="3" s="1"/>
  <c r="H69" i="3" a="1"/>
  <c r="H69" i="3" s="1"/>
  <c r="H70" i="3" a="1"/>
  <c r="H70" i="3" s="1"/>
  <c r="H71" i="3" a="1"/>
  <c r="H71" i="3" s="1"/>
  <c r="H72" i="3" a="1"/>
  <c r="H72" i="3" s="1"/>
  <c r="H73" i="3" a="1"/>
  <c r="H73" i="3" s="1"/>
  <c r="H74" i="3" a="1"/>
  <c r="H74" i="3" s="1"/>
  <c r="H75" i="3" a="1"/>
  <c r="H75" i="3" s="1"/>
  <c r="H76" i="3" a="1"/>
  <c r="H76" i="3" s="1"/>
  <c r="H77" i="3" a="1"/>
  <c r="H77" i="3" s="1"/>
  <c r="H78" i="3" a="1"/>
  <c r="H78" i="3" s="1"/>
  <c r="H79" i="3" a="1"/>
  <c r="H79" i="3" s="1"/>
  <c r="H80" i="3" a="1"/>
  <c r="H80" i="3" s="1"/>
  <c r="H81" i="3" a="1"/>
  <c r="H81" i="3" s="1"/>
  <c r="H82" i="3" a="1"/>
  <c r="H82" i="3" s="1"/>
  <c r="H83" i="3" a="1"/>
  <c r="H83" i="3" s="1"/>
  <c r="H84" i="3" a="1"/>
  <c r="H84" i="3" s="1"/>
  <c r="H85" i="3" a="1"/>
  <c r="H85" i="3" s="1"/>
  <c r="H86" i="3" a="1"/>
  <c r="H86" i="3" s="1"/>
  <c r="H87" i="3" a="1"/>
  <c r="H87" i="3" s="1"/>
  <c r="H88" i="3" a="1"/>
  <c r="H88" i="3" s="1"/>
  <c r="H89" i="3" a="1"/>
  <c r="H89" i="3" s="1"/>
  <c r="H90" i="3" a="1"/>
  <c r="H90" i="3" s="1"/>
  <c r="H91" i="3" a="1"/>
  <c r="H91" i="3" s="1"/>
  <c r="H92" i="3" a="1"/>
  <c r="H92" i="3" s="1"/>
  <c r="H93" i="3" a="1"/>
  <c r="H93" i="3" s="1"/>
  <c r="H94" i="3" a="1"/>
  <c r="H94" i="3" s="1"/>
  <c r="H95" i="3" a="1"/>
  <c r="H95" i="3" s="1"/>
  <c r="H96" i="3" a="1"/>
  <c r="H96" i="3" s="1"/>
  <c r="H97" i="3" a="1"/>
  <c r="H97" i="3" s="1"/>
  <c r="H98" i="3" a="1"/>
  <c r="H98" i="3" s="1"/>
  <c r="D98" i="4"/>
  <c r="D97" i="4"/>
  <c r="D96" i="4"/>
  <c r="D95" i="4"/>
  <c r="D94" i="4"/>
  <c r="D93" i="4"/>
  <c r="D92" i="4"/>
  <c r="D91" i="4"/>
  <c r="D90" i="4"/>
  <c r="D89" i="4"/>
  <c r="D88" i="4"/>
  <c r="D87" i="4"/>
  <c r="D86" i="4"/>
  <c r="D85" i="4"/>
  <c r="D84" i="4"/>
  <c r="D83" i="4"/>
  <c r="D82" i="4"/>
  <c r="D81" i="4"/>
  <c r="D80" i="4"/>
  <c r="D79" i="4"/>
  <c r="D78" i="4"/>
  <c r="D77" i="4"/>
  <c r="D76" i="4"/>
  <c r="D75" i="4"/>
  <c r="D74" i="4"/>
  <c r="D73" i="4"/>
  <c r="D72" i="4"/>
  <c r="D71" i="4"/>
  <c r="D70" i="4"/>
  <c r="D69" i="4"/>
  <c r="D68" i="4"/>
  <c r="D67" i="4"/>
  <c r="D66" i="4"/>
  <c r="D65" i="4"/>
  <c r="D64" i="4"/>
  <c r="D63" i="4"/>
  <c r="D62" i="4"/>
  <c r="D61" i="4"/>
  <c r="D60" i="4"/>
  <c r="D59" i="4"/>
  <c r="D58" i="4"/>
  <c r="D57" i="4"/>
  <c r="D56" i="4"/>
  <c r="D55" i="4"/>
  <c r="D54" i="4"/>
  <c r="D53" i="4"/>
  <c r="D52" i="4"/>
  <c r="D51" i="4"/>
  <c r="D50" i="4"/>
  <c r="D49" i="4"/>
  <c r="D48" i="4"/>
  <c r="D47" i="4"/>
  <c r="D46" i="4"/>
  <c r="D45" i="4"/>
  <c r="D44" i="4"/>
  <c r="D43" i="4"/>
  <c r="D42" i="4"/>
  <c r="D41" i="4"/>
  <c r="D40" i="4"/>
  <c r="D39" i="4"/>
  <c r="D38" i="4"/>
  <c r="D37" i="4"/>
  <c r="D36" i="4"/>
  <c r="D35" i="4"/>
  <c r="D34" i="4"/>
  <c r="D33" i="4"/>
  <c r="D32" i="4"/>
  <c r="D31" i="4"/>
  <c r="D30" i="4"/>
  <c r="D29" i="4"/>
  <c r="D28" i="4"/>
  <c r="D27" i="4"/>
  <c r="D26" i="4"/>
  <c r="D25" i="4"/>
  <c r="D24" i="4"/>
  <c r="D23" i="4"/>
  <c r="D22" i="4"/>
  <c r="D21" i="4"/>
  <c r="D20" i="4"/>
  <c r="D19" i="4"/>
  <c r="D18" i="4"/>
  <c r="D17" i="4"/>
  <c r="D16" i="4"/>
  <c r="D15" i="4"/>
  <c r="D14" i="4"/>
  <c r="D13" i="4"/>
  <c r="D12" i="4"/>
  <c r="D11" i="4"/>
  <c r="D10" i="4"/>
  <c r="D9" i="4"/>
  <c r="D8" i="4"/>
  <c r="D7" i="4"/>
  <c r="D6" i="4"/>
  <c r="D5" i="4"/>
  <c r="D4" i="4"/>
  <c r="D3" i="4"/>
  <c r="D2" i="4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2" i="3"/>
</calcChain>
</file>

<file path=xl/metadata.xml><?xml version="1.0" encoding="utf-8"?>
<metadata xmlns="http://schemas.openxmlformats.org/spreadsheetml/2006/main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futureMetadata name="XLRICHVALUE" count="46">
    <bk>
      <extLst>
        <ext xmlns:xlrd="http://schemas.microsoft.com/office/spreadsheetml/2017/richdata" uri="{3e2802c4-a4d2-4d8b-9148-e3be6c30e623}">
          <xlrd:rvb i="0"/>
        </ext>
      </extLst>
    </bk>
    <bk>
      <extLst>
        <ext xmlns:xlrd="http://schemas.microsoft.com/office/spreadsheetml/2017/richdata" uri="{3e2802c4-a4d2-4d8b-9148-e3be6c30e623}">
          <xlrd:rvb i="9"/>
        </ext>
      </extLst>
    </bk>
    <bk>
      <extLst>
        <ext xmlns:xlrd="http://schemas.microsoft.com/office/spreadsheetml/2017/richdata" uri="{3e2802c4-a4d2-4d8b-9148-e3be6c30e623}">
          <xlrd:rvb i="11"/>
        </ext>
      </extLst>
    </bk>
    <bk>
      <extLst>
        <ext xmlns:xlrd="http://schemas.microsoft.com/office/spreadsheetml/2017/richdata" uri="{3e2802c4-a4d2-4d8b-9148-e3be6c30e623}">
          <xlrd:rvb i="18"/>
        </ext>
      </extLst>
    </bk>
    <bk>
      <extLst>
        <ext xmlns:xlrd="http://schemas.microsoft.com/office/spreadsheetml/2017/richdata" uri="{3e2802c4-a4d2-4d8b-9148-e3be6c30e623}">
          <xlrd:rvb i="20"/>
        </ext>
      </extLst>
    </bk>
    <bk>
      <extLst>
        <ext xmlns:xlrd="http://schemas.microsoft.com/office/spreadsheetml/2017/richdata" uri="{3e2802c4-a4d2-4d8b-9148-e3be6c30e623}">
          <xlrd:rvb i="26"/>
        </ext>
      </extLst>
    </bk>
    <bk>
      <extLst>
        <ext xmlns:xlrd="http://schemas.microsoft.com/office/spreadsheetml/2017/richdata" uri="{3e2802c4-a4d2-4d8b-9148-e3be6c30e623}">
          <xlrd:rvb i="28"/>
        </ext>
      </extLst>
    </bk>
    <bk>
      <extLst>
        <ext xmlns:xlrd="http://schemas.microsoft.com/office/spreadsheetml/2017/richdata" uri="{3e2802c4-a4d2-4d8b-9148-e3be6c30e623}">
          <xlrd:rvb i="37"/>
        </ext>
      </extLst>
    </bk>
    <bk>
      <extLst>
        <ext xmlns:xlrd="http://schemas.microsoft.com/office/spreadsheetml/2017/richdata" uri="{3e2802c4-a4d2-4d8b-9148-e3be6c30e623}">
          <xlrd:rvb i="45"/>
        </ext>
      </extLst>
    </bk>
    <bk>
      <extLst>
        <ext xmlns:xlrd="http://schemas.microsoft.com/office/spreadsheetml/2017/richdata" uri="{3e2802c4-a4d2-4d8b-9148-e3be6c30e623}">
          <xlrd:rvb i="52"/>
        </ext>
      </extLst>
    </bk>
    <bk>
      <extLst>
        <ext xmlns:xlrd="http://schemas.microsoft.com/office/spreadsheetml/2017/richdata" uri="{3e2802c4-a4d2-4d8b-9148-e3be6c30e623}">
          <xlrd:rvb i="54"/>
        </ext>
      </extLst>
    </bk>
    <bk>
      <extLst>
        <ext xmlns:xlrd="http://schemas.microsoft.com/office/spreadsheetml/2017/richdata" uri="{3e2802c4-a4d2-4d8b-9148-e3be6c30e623}">
          <xlrd:rvb i="61"/>
        </ext>
      </extLst>
    </bk>
    <bk>
      <extLst>
        <ext xmlns:xlrd="http://schemas.microsoft.com/office/spreadsheetml/2017/richdata" uri="{3e2802c4-a4d2-4d8b-9148-e3be6c30e623}">
          <xlrd:rvb i="63"/>
        </ext>
      </extLst>
    </bk>
    <bk>
      <extLst>
        <ext xmlns:xlrd="http://schemas.microsoft.com/office/spreadsheetml/2017/richdata" uri="{3e2802c4-a4d2-4d8b-9148-e3be6c30e623}">
          <xlrd:rvb i="68"/>
        </ext>
      </extLst>
    </bk>
    <bk>
      <extLst>
        <ext xmlns:xlrd="http://schemas.microsoft.com/office/spreadsheetml/2017/richdata" uri="{3e2802c4-a4d2-4d8b-9148-e3be6c30e623}">
          <xlrd:rvb i="70"/>
        </ext>
      </extLst>
    </bk>
    <bk>
      <extLst>
        <ext xmlns:xlrd="http://schemas.microsoft.com/office/spreadsheetml/2017/richdata" uri="{3e2802c4-a4d2-4d8b-9148-e3be6c30e623}">
          <xlrd:rvb i="76"/>
        </ext>
      </extLst>
    </bk>
    <bk>
      <extLst>
        <ext xmlns:xlrd="http://schemas.microsoft.com/office/spreadsheetml/2017/richdata" uri="{3e2802c4-a4d2-4d8b-9148-e3be6c30e623}">
          <xlrd:rvb i="78"/>
        </ext>
      </extLst>
    </bk>
    <bk>
      <extLst>
        <ext xmlns:xlrd="http://schemas.microsoft.com/office/spreadsheetml/2017/richdata" uri="{3e2802c4-a4d2-4d8b-9148-e3be6c30e623}">
          <xlrd:rvb i="86"/>
        </ext>
      </extLst>
    </bk>
    <bk>
      <extLst>
        <ext xmlns:xlrd="http://schemas.microsoft.com/office/spreadsheetml/2017/richdata" uri="{3e2802c4-a4d2-4d8b-9148-e3be6c30e623}">
          <xlrd:rvb i="88"/>
        </ext>
      </extLst>
    </bk>
    <bk>
      <extLst>
        <ext xmlns:xlrd="http://schemas.microsoft.com/office/spreadsheetml/2017/richdata" uri="{3e2802c4-a4d2-4d8b-9148-e3be6c30e623}">
          <xlrd:rvb i="95"/>
        </ext>
      </extLst>
    </bk>
    <bk>
      <extLst>
        <ext xmlns:xlrd="http://schemas.microsoft.com/office/spreadsheetml/2017/richdata" uri="{3e2802c4-a4d2-4d8b-9148-e3be6c30e623}">
          <xlrd:rvb i="97"/>
        </ext>
      </extLst>
    </bk>
    <bk>
      <extLst>
        <ext xmlns:xlrd="http://schemas.microsoft.com/office/spreadsheetml/2017/richdata" uri="{3e2802c4-a4d2-4d8b-9148-e3be6c30e623}">
          <xlrd:rvb i="103"/>
        </ext>
      </extLst>
    </bk>
    <bk>
      <extLst>
        <ext xmlns:xlrd="http://schemas.microsoft.com/office/spreadsheetml/2017/richdata" uri="{3e2802c4-a4d2-4d8b-9148-e3be6c30e623}">
          <xlrd:rvb i="105"/>
        </ext>
      </extLst>
    </bk>
    <bk>
      <extLst>
        <ext xmlns:xlrd="http://schemas.microsoft.com/office/spreadsheetml/2017/richdata" uri="{3e2802c4-a4d2-4d8b-9148-e3be6c30e623}">
          <xlrd:rvb i="111"/>
        </ext>
      </extLst>
    </bk>
    <bk>
      <extLst>
        <ext xmlns:xlrd="http://schemas.microsoft.com/office/spreadsheetml/2017/richdata" uri="{3e2802c4-a4d2-4d8b-9148-e3be6c30e623}">
          <xlrd:rvb i="113"/>
        </ext>
      </extLst>
    </bk>
    <bk>
      <extLst>
        <ext xmlns:xlrd="http://schemas.microsoft.com/office/spreadsheetml/2017/richdata" uri="{3e2802c4-a4d2-4d8b-9148-e3be6c30e623}">
          <xlrd:rvb i="120"/>
        </ext>
      </extLst>
    </bk>
    <bk>
      <extLst>
        <ext xmlns:xlrd="http://schemas.microsoft.com/office/spreadsheetml/2017/richdata" uri="{3e2802c4-a4d2-4d8b-9148-e3be6c30e623}">
          <xlrd:rvb i="122"/>
        </ext>
      </extLst>
    </bk>
    <bk>
      <extLst>
        <ext xmlns:xlrd="http://schemas.microsoft.com/office/spreadsheetml/2017/richdata" uri="{3e2802c4-a4d2-4d8b-9148-e3be6c30e623}">
          <xlrd:rvb i="129"/>
        </ext>
      </extLst>
    </bk>
    <bk>
      <extLst>
        <ext xmlns:xlrd="http://schemas.microsoft.com/office/spreadsheetml/2017/richdata" uri="{3e2802c4-a4d2-4d8b-9148-e3be6c30e623}">
          <xlrd:rvb i="131"/>
        </ext>
      </extLst>
    </bk>
    <bk>
      <extLst>
        <ext xmlns:xlrd="http://schemas.microsoft.com/office/spreadsheetml/2017/richdata" uri="{3e2802c4-a4d2-4d8b-9148-e3be6c30e623}">
          <xlrd:rvb i="138"/>
        </ext>
      </extLst>
    </bk>
    <bk>
      <extLst>
        <ext xmlns:xlrd="http://schemas.microsoft.com/office/spreadsheetml/2017/richdata" uri="{3e2802c4-a4d2-4d8b-9148-e3be6c30e623}">
          <xlrd:rvb i="140"/>
        </ext>
      </extLst>
    </bk>
    <bk>
      <extLst>
        <ext xmlns:xlrd="http://schemas.microsoft.com/office/spreadsheetml/2017/richdata" uri="{3e2802c4-a4d2-4d8b-9148-e3be6c30e623}">
          <xlrd:rvb i="146"/>
        </ext>
      </extLst>
    </bk>
    <bk>
      <extLst>
        <ext xmlns:xlrd="http://schemas.microsoft.com/office/spreadsheetml/2017/richdata" uri="{3e2802c4-a4d2-4d8b-9148-e3be6c30e623}">
          <xlrd:rvb i="148"/>
        </ext>
      </extLst>
    </bk>
    <bk>
      <extLst>
        <ext xmlns:xlrd="http://schemas.microsoft.com/office/spreadsheetml/2017/richdata" uri="{3e2802c4-a4d2-4d8b-9148-e3be6c30e623}">
          <xlrd:rvb i="154"/>
        </ext>
      </extLst>
    </bk>
    <bk>
      <extLst>
        <ext xmlns:xlrd="http://schemas.microsoft.com/office/spreadsheetml/2017/richdata" uri="{3e2802c4-a4d2-4d8b-9148-e3be6c30e623}">
          <xlrd:rvb i="156"/>
        </ext>
      </extLst>
    </bk>
    <bk>
      <extLst>
        <ext xmlns:xlrd="http://schemas.microsoft.com/office/spreadsheetml/2017/richdata" uri="{3e2802c4-a4d2-4d8b-9148-e3be6c30e623}">
          <xlrd:rvb i="161"/>
        </ext>
      </extLst>
    </bk>
    <bk>
      <extLst>
        <ext xmlns:xlrd="http://schemas.microsoft.com/office/spreadsheetml/2017/richdata" uri="{3e2802c4-a4d2-4d8b-9148-e3be6c30e623}">
          <xlrd:rvb i="163"/>
        </ext>
      </extLst>
    </bk>
    <bk>
      <extLst>
        <ext xmlns:xlrd="http://schemas.microsoft.com/office/spreadsheetml/2017/richdata" uri="{3e2802c4-a4d2-4d8b-9148-e3be6c30e623}">
          <xlrd:rvb i="169"/>
        </ext>
      </extLst>
    </bk>
    <bk>
      <extLst>
        <ext xmlns:xlrd="http://schemas.microsoft.com/office/spreadsheetml/2017/richdata" uri="{3e2802c4-a4d2-4d8b-9148-e3be6c30e623}">
          <xlrd:rvb i="171"/>
        </ext>
      </extLst>
    </bk>
    <bk>
      <extLst>
        <ext xmlns:xlrd="http://schemas.microsoft.com/office/spreadsheetml/2017/richdata" uri="{3e2802c4-a4d2-4d8b-9148-e3be6c30e623}">
          <xlrd:rvb i="177"/>
        </ext>
      </extLst>
    </bk>
    <bk>
      <extLst>
        <ext xmlns:xlrd="http://schemas.microsoft.com/office/spreadsheetml/2017/richdata" uri="{3e2802c4-a4d2-4d8b-9148-e3be6c30e623}">
          <xlrd:rvb i="179"/>
        </ext>
      </extLst>
    </bk>
    <bk>
      <extLst>
        <ext xmlns:xlrd="http://schemas.microsoft.com/office/spreadsheetml/2017/richdata" uri="{3e2802c4-a4d2-4d8b-9148-e3be6c30e623}">
          <xlrd:rvb i="186"/>
        </ext>
      </extLst>
    </bk>
    <bk>
      <extLst>
        <ext xmlns:xlrd="http://schemas.microsoft.com/office/spreadsheetml/2017/richdata" uri="{3e2802c4-a4d2-4d8b-9148-e3be6c30e623}">
          <xlrd:rvb i="188"/>
        </ext>
      </extLst>
    </bk>
    <bk>
      <extLst>
        <ext xmlns:xlrd="http://schemas.microsoft.com/office/spreadsheetml/2017/richdata" uri="{3e2802c4-a4d2-4d8b-9148-e3be6c30e623}">
          <xlrd:rvb i="194"/>
        </ext>
      </extLst>
    </bk>
    <bk>
      <extLst>
        <ext xmlns:xlrd="http://schemas.microsoft.com/office/spreadsheetml/2017/richdata" uri="{3e2802c4-a4d2-4d8b-9148-e3be6c30e623}">
          <xlrd:rvb i="30"/>
        </ext>
      </extLst>
    </bk>
    <bk>
      <extLst>
        <ext xmlns:xlrd="http://schemas.microsoft.com/office/spreadsheetml/2017/richdata" uri="{3e2802c4-a4d2-4d8b-9148-e3be6c30e623}">
          <xlrd:rvb i="43"/>
        </ext>
      </extLst>
    </bk>
  </futureMetadata>
  <cellMetadata count="1">
    <bk>
      <rc t="1" v="0"/>
    </bk>
  </cellMetadata>
  <valueMetadata count="46">
    <bk>
      <rc t="2" v="0"/>
    </bk>
    <bk>
      <rc t="2" v="1"/>
    </bk>
    <bk>
      <rc t="2" v="2"/>
    </bk>
    <bk>
      <rc t="2" v="3"/>
    </bk>
    <bk>
      <rc t="2" v="4"/>
    </bk>
    <bk>
      <rc t="2" v="5"/>
    </bk>
    <bk>
      <rc t="2" v="6"/>
    </bk>
    <bk>
      <rc t="2" v="7"/>
    </bk>
    <bk>
      <rc t="2" v="8"/>
    </bk>
    <bk>
      <rc t="2" v="9"/>
    </bk>
    <bk>
      <rc t="2" v="10"/>
    </bk>
    <bk>
      <rc t="2" v="11"/>
    </bk>
    <bk>
      <rc t="2" v="12"/>
    </bk>
    <bk>
      <rc t="2" v="13"/>
    </bk>
    <bk>
      <rc t="2" v="14"/>
    </bk>
    <bk>
      <rc t="2" v="15"/>
    </bk>
    <bk>
      <rc t="2" v="16"/>
    </bk>
    <bk>
      <rc t="2" v="17"/>
    </bk>
    <bk>
      <rc t="2" v="18"/>
    </bk>
    <bk>
      <rc t="2" v="19"/>
    </bk>
    <bk>
      <rc t="2" v="20"/>
    </bk>
    <bk>
      <rc t="2" v="21"/>
    </bk>
    <bk>
      <rc t="2" v="22"/>
    </bk>
    <bk>
      <rc t="2" v="23"/>
    </bk>
    <bk>
      <rc t="2" v="24"/>
    </bk>
    <bk>
      <rc t="2" v="25"/>
    </bk>
    <bk>
      <rc t="2" v="26"/>
    </bk>
    <bk>
      <rc t="2" v="27"/>
    </bk>
    <bk>
      <rc t="2" v="28"/>
    </bk>
    <bk>
      <rc t="2" v="29"/>
    </bk>
    <bk>
      <rc t="2" v="30"/>
    </bk>
    <bk>
      <rc t="2" v="31"/>
    </bk>
    <bk>
      <rc t="2" v="32"/>
    </bk>
    <bk>
      <rc t="2" v="33"/>
    </bk>
    <bk>
      <rc t="2" v="34"/>
    </bk>
    <bk>
      <rc t="2" v="35"/>
    </bk>
    <bk>
      <rc t="2" v="36"/>
    </bk>
    <bk>
      <rc t="2" v="37"/>
    </bk>
    <bk>
      <rc t="2" v="38"/>
    </bk>
    <bk>
      <rc t="2" v="39"/>
    </bk>
    <bk>
      <rc t="2" v="40"/>
    </bk>
    <bk>
      <rc t="2" v="41"/>
    </bk>
    <bk>
      <rc t="2" v="42"/>
    </bk>
    <bk>
      <rc t="2" v="43"/>
    </bk>
    <bk>
      <rc t="2" v="44"/>
    </bk>
    <bk>
      <rc t="2" v="45"/>
    </bk>
  </valueMetadata>
</metadata>
</file>

<file path=xl/sharedStrings.xml><?xml version="1.0" encoding="utf-8"?>
<sst xmlns="http://schemas.openxmlformats.org/spreadsheetml/2006/main" count="1576" uniqueCount="150">
  <si>
    <t>Registro</t>
  </si>
  <si>
    <t>Nascimento</t>
  </si>
  <si>
    <t>Setor</t>
  </si>
  <si>
    <t>Salário</t>
  </si>
  <si>
    <t>Filial</t>
  </si>
  <si>
    <t>Espírito Santo</t>
  </si>
  <si>
    <t>Rio de Janeiro</t>
  </si>
  <si>
    <t>Santa Catarina</t>
  </si>
  <si>
    <t>Distrito Federal</t>
  </si>
  <si>
    <t>São Paulo</t>
  </si>
  <si>
    <t>Bahia</t>
  </si>
  <si>
    <t>Pernambuco</t>
  </si>
  <si>
    <t>Amazonas</t>
  </si>
  <si>
    <t>Tocantins</t>
  </si>
  <si>
    <t>Paraíba</t>
  </si>
  <si>
    <t>Roraima</t>
  </si>
  <si>
    <t>Amapá</t>
  </si>
  <si>
    <t>Paraná</t>
  </si>
  <si>
    <t>Goiás</t>
  </si>
  <si>
    <t>Maranhão</t>
  </si>
  <si>
    <t>Ceará</t>
  </si>
  <si>
    <t>Pará</t>
  </si>
  <si>
    <t>Mato Grosso</t>
  </si>
  <si>
    <t>Alagoas</t>
  </si>
  <si>
    <t>Sergipe</t>
  </si>
  <si>
    <t>Piauí</t>
  </si>
  <si>
    <t>Minas Gerais</t>
  </si>
  <si>
    <t>Marketing</t>
  </si>
  <si>
    <t>Compras</t>
  </si>
  <si>
    <t>Comercial</t>
  </si>
  <si>
    <t>Administrativo</t>
  </si>
  <si>
    <t>Financeiro</t>
  </si>
  <si>
    <t>Gestão</t>
  </si>
  <si>
    <t>Produção</t>
  </si>
  <si>
    <t>Nome Completo</t>
  </si>
  <si>
    <t>Cecília Nabo</t>
  </si>
  <si>
    <t>João Sedibe</t>
  </si>
  <si>
    <t>Lorenzo Turataq</t>
  </si>
  <si>
    <t>Joaquim Sisos</t>
  </si>
  <si>
    <t>Maria Clara Tiqa</t>
  </si>
  <si>
    <t>Diego Barum</t>
  </si>
  <si>
    <t>Felipe Rusas</t>
  </si>
  <si>
    <t>Cauã Tetanal</t>
  </si>
  <si>
    <t>Maitê Lareqote</t>
  </si>
  <si>
    <t>Matheus Rura</t>
  </si>
  <si>
    <t>Catarina Tasemoq</t>
  </si>
  <si>
    <t>Clara Nasal</t>
  </si>
  <si>
    <t>Murilo Posu</t>
  </si>
  <si>
    <t>Gael Lefatan</t>
  </si>
  <si>
    <t>Bernardo Sopase</t>
  </si>
  <si>
    <t>João Reluqebi</t>
  </si>
  <si>
    <t>Laura Reseli</t>
  </si>
  <si>
    <t>João Pedro Sofa</t>
  </si>
  <si>
    <t>Eduardo Dodud</t>
  </si>
  <si>
    <t>Bryan Dasupa</t>
  </si>
  <si>
    <t>Maria Cecília Pases</t>
  </si>
  <si>
    <t>Antonella Lalusat</t>
  </si>
  <si>
    <t>Davi Lucca Tanaqer</t>
  </si>
  <si>
    <t>Isabelly Lanaqi</t>
  </si>
  <si>
    <t>Caio Tusotara</t>
  </si>
  <si>
    <t>Isabella Tamelane</t>
  </si>
  <si>
    <t>Eloá Titutata</t>
  </si>
  <si>
    <t>Vicente Tebebu</t>
  </si>
  <si>
    <t>Liz Loti</t>
  </si>
  <si>
    <t>Lavínia Lelet</t>
  </si>
  <si>
    <t>Rafaela Desate</t>
  </si>
  <si>
    <t>Enrico Tepu</t>
  </si>
  <si>
    <t>Lorena Qanan</t>
  </si>
  <si>
    <t>Noah Tetabat</t>
  </si>
  <si>
    <t>Maria Luiza Lera</t>
  </si>
  <si>
    <t>Samuel Sepa</t>
  </si>
  <si>
    <t>Leonardo Telema</t>
  </si>
  <si>
    <t>Vitor Fanodut</t>
  </si>
  <si>
    <t>Daniel Talibi</t>
  </si>
  <si>
    <t>Yasmin Qamep</t>
  </si>
  <si>
    <t>Arthur Nila</t>
  </si>
  <si>
    <t>Emanuelly Selal</t>
  </si>
  <si>
    <t>João Miguel Tabera</t>
  </si>
  <si>
    <t>Gabriela Basatide</t>
  </si>
  <si>
    <t>Valentina Ronobe</t>
  </si>
  <si>
    <t>Benjamin Datal</t>
  </si>
  <si>
    <t>Isaac Loreleta</t>
  </si>
  <si>
    <t>Vinícius Namepa</t>
  </si>
  <si>
    <t>Manuela Reqa</t>
  </si>
  <si>
    <t>Isadora Batabuma</t>
  </si>
  <si>
    <t>Maria Eduarda Baso</t>
  </si>
  <si>
    <t>João Lucas Tutoten</t>
  </si>
  <si>
    <t>Giovanna Qilera</t>
  </si>
  <si>
    <t>Lara Pede</t>
  </si>
  <si>
    <t>Ana Luiza Resaq</t>
  </si>
  <si>
    <t>Mariana Ralalefu</t>
  </si>
  <si>
    <t>Marina Feqelaqi</t>
  </si>
  <si>
    <t>Ana Laura Damasale</t>
  </si>
  <si>
    <t>Maria Alice Moreruma</t>
  </si>
  <si>
    <t>Pedro Selole</t>
  </si>
  <si>
    <t>Guilherme Basop</t>
  </si>
  <si>
    <t>Rafael Roteta</t>
  </si>
  <si>
    <t>Nicolas Tada</t>
  </si>
  <si>
    <t>Júlia Salo</t>
  </si>
  <si>
    <t>Bento Pose</t>
  </si>
  <si>
    <t>Maria Júlia Nonumeba</t>
  </si>
  <si>
    <t>Alícia Liratad</t>
  </si>
  <si>
    <t>Benício Lamara</t>
  </si>
  <si>
    <t>Agatha Reda</t>
  </si>
  <si>
    <t>Helena Bapeso</t>
  </si>
  <si>
    <t>Ana Clara Ramem</t>
  </si>
  <si>
    <t>Lívia Beqederi</t>
  </si>
  <si>
    <t>Emanuel Sataq</t>
  </si>
  <si>
    <t>Miguel Sileqe</t>
  </si>
  <si>
    <t>Anthony Robama</t>
  </si>
  <si>
    <t>Sarah Lidona</t>
  </si>
  <si>
    <t>Théo Dare</t>
  </si>
  <si>
    <t>Heloísa Baretas</t>
  </si>
  <si>
    <t>Beatriz Qula</t>
  </si>
  <si>
    <t>Sophia Qama</t>
  </si>
  <si>
    <t>Enzo Lubiqaq</t>
  </si>
  <si>
    <t>Isis Naror</t>
  </si>
  <si>
    <t>Rebeca Qaloda</t>
  </si>
  <si>
    <t>Ana Júlia Tose</t>
  </si>
  <si>
    <t>Lucas Lona</t>
  </si>
  <si>
    <t>Gabriel Dafipet</t>
  </si>
  <si>
    <t>Davi Qepe</t>
  </si>
  <si>
    <t>Heitor Pafoqo</t>
  </si>
  <si>
    <t>Calebe Rutasuti</t>
  </si>
  <si>
    <t>Elisa Bebomoso</t>
  </si>
  <si>
    <t>Henrique Nudabo</t>
  </si>
  <si>
    <t>Antônio Babeta</t>
  </si>
  <si>
    <t>Luiza Febo</t>
  </si>
  <si>
    <t>Esther Puso</t>
  </si>
  <si>
    <t>Lucca Fulepepa</t>
  </si>
  <si>
    <t>Gustavo Raqer</t>
  </si>
  <si>
    <t>Melissa Nadereb</t>
  </si>
  <si>
    <t>Idade</t>
  </si>
  <si>
    <t>Pop. Filial</t>
  </si>
  <si>
    <t>Qtd.</t>
  </si>
  <si>
    <t>UF</t>
  </si>
  <si>
    <t>Região</t>
  </si>
  <si>
    <t>Norte</t>
  </si>
  <si>
    <t>Nordeste</t>
  </si>
  <si>
    <t>Centro-Oeste</t>
  </si>
  <si>
    <t>Sudeste</t>
  </si>
  <si>
    <t>Sul</t>
  </si>
  <si>
    <t>Categoria</t>
  </si>
  <si>
    <t>Mínimo</t>
  </si>
  <si>
    <t>Máximo</t>
  </si>
  <si>
    <t>Nível 1</t>
  </si>
  <si>
    <t>-</t>
  </si>
  <si>
    <t>Nível 2</t>
  </si>
  <si>
    <t>Nível 3</t>
  </si>
  <si>
    <t>Nível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</si>
</sst>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00&quot;.&quot;000&quot;-&quot;0"/>
    <numFmt numFmtId="165" formatCode="&quot;R$&quot;\ #,##0"/>
    <numFmt numFmtId="167" formatCode="&quot;R$&quot;\ #,##0.00"/>
  </numFmts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3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0" fontId="0" fillId="0" borderId="0" xfId="0" applyNumberFormat="1" applyAlignment="1">
      <alignment horizontal="left"/>
    </xf>
    <xf numFmtId="165" fontId="0" fillId="0" borderId="0" xfId="0" applyNumberFormat="1" applyAlignment="1">
      <alignment horizontal="left"/>
    </xf>
    <xf numFmtId="0" fontId="1" fillId="3" borderId="0" xfId="0" applyFont="1" applyFill="1" applyAlignment="1">
      <alignment horizontal="left"/>
    </xf>
    <xf numFmtId="0" fontId="0" fillId="0" borderId="1" xfId="0" applyBorder="1" applyAlignment="1">
      <alignment horizontal="left"/>
    </xf>
    <xf numFmtId="0" fontId="0" fillId="0" borderId="0" xfId="0" applyBorder="1"/>
    <xf numFmtId="0" fontId="0" fillId="2" borderId="0" xfId="0" applyFill="1" applyBorder="1" applyAlignment="1">
      <alignment horizontal="left"/>
    </xf>
    <xf numFmtId="0" fontId="1" fillId="3" borderId="0" xfId="0" applyFont="1" applyFill="1" applyBorder="1" applyAlignment="1">
      <alignment horizontal="left"/>
    </xf>
    <xf numFmtId="0" fontId="0" fillId="0" borderId="1" xfId="0" applyBorder="1"/>
    <xf numFmtId="165" fontId="0" fillId="0" borderId="1" xfId="0" applyNumberFormat="1" applyBorder="1" applyAlignment="1">
      <alignment horizontal="left"/>
    </xf>
    <xf numFmtId="0" fontId="0" fillId="2" borderId="0" xfId="0" applyFont="1" applyFill="1" applyAlignment="1">
      <alignment horizontal="left"/>
    </xf>
    <xf numFmtId="164" fontId="1" fillId="3" borderId="0" xfId="0" applyNumberFormat="1" applyFont="1" applyFill="1" applyBorder="1" applyAlignment="1">
      <alignment horizontal="left"/>
    </xf>
    <xf numFmtId="0" fontId="1" fillId="4" borderId="0" xfId="0" applyFont="1" applyFill="1" applyAlignment="1">
      <alignment horizontal="left"/>
    </xf>
    <xf numFmtId="0" fontId="1" fillId="4" borderId="0" xfId="0" applyFont="1" applyFill="1" applyBorder="1" applyAlignment="1">
      <alignment horizontal="left"/>
    </xf>
    <xf numFmtId="165" fontId="0" fillId="0" borderId="0" xfId="0" applyNumberFormat="1" applyFont="1" applyAlignment="1">
      <alignment horizontal="left"/>
    </xf>
    <xf numFmtId="0" fontId="0" fillId="0" borderId="0" xfId="0" applyFont="1" applyAlignment="1">
      <alignment horizontal="left"/>
    </xf>
    <xf numFmtId="165" fontId="0" fillId="0" borderId="0" xfId="0" quotePrefix="1" applyNumberFormat="1" applyFont="1" applyAlignment="1">
      <alignment horizontal="left"/>
    </xf>
    <xf numFmtId="0" fontId="0" fillId="2" borderId="0" xfId="0" applyFill="1" applyBorder="1"/>
    <xf numFmtId="167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microsoft.com/office/2017/06/relationships/rdRichValue" Target="richData/rdrichvalue.xml"/><Relationship Id="rId18" Type="http://schemas.microsoft.com/office/2017/06/relationships/rdSupportingPropertyBag" Target="richData/rdsupportingpropertybag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17" Type="http://schemas.microsoft.com/office/2017/06/relationships/rdSupportingPropertyBagStructure" Target="richData/rdsupportingpropertybagstructure.xml"/><Relationship Id="rId2" Type="http://schemas.openxmlformats.org/officeDocument/2006/relationships/worksheet" Target="worksheets/sheet2.xml"/><Relationship Id="rId16" Type="http://schemas.microsoft.com/office/2017/06/relationships/richStyles" Target="richData/richStyles.xml"/><Relationship Id="rId20" Type="http://schemas.microsoft.com/office/2017/06/relationships/rdRichValueTypes" Target="richData/rdRichValueTyp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microsoft.com/office/2017/06/relationships/rdArray" Target="richData/rdarray.xml"/><Relationship Id="rId10" Type="http://schemas.openxmlformats.org/officeDocument/2006/relationships/sharedStrings" Target="sharedStrings.xml"/><Relationship Id="rId19" Type="http://schemas.microsoft.com/office/2020/07/relationships/rdRichValueWebImage" Target="richData/rdRichValueWebImage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microsoft.com/office/2017/06/relationships/rdRichValueStructure" Target="richData/rdrichvaluestructure.xml"/></Relationships>
</file>

<file path=xl/richData/_rels/rdRichValueWebImage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bing.com/th?id=AMMS_55bbd647783f31165bf650e5d1f27c41&amp;qlt=95" TargetMode="External"/><Relationship Id="rId18" Type="http://schemas.openxmlformats.org/officeDocument/2006/relationships/hyperlink" Target="https://www.bing.com/images/search?form=xlimg&amp;q=Para%c3%adba" TargetMode="External"/><Relationship Id="rId26" Type="http://schemas.openxmlformats.org/officeDocument/2006/relationships/hyperlink" Target="https://www.bing.com/images/search?form=xlimg&amp;q=Maranh%c3%a3o" TargetMode="External"/><Relationship Id="rId8" Type="http://schemas.openxmlformats.org/officeDocument/2006/relationships/hyperlink" Target="https://www.bing.com/images/search?form=xlimg&amp;q=S%c3%a3o+Paulo+estado" TargetMode="External"/><Relationship Id="rId3" Type="http://schemas.openxmlformats.org/officeDocument/2006/relationships/hyperlink" Target="https://www.bing.com/th?id=AMMS_863d18038381247cc94b3bc58b62ab53&amp;qlt=95" TargetMode="External"/><Relationship Id="rId21" Type="http://schemas.openxmlformats.org/officeDocument/2006/relationships/hyperlink" Target="https://www.bing.com/th?id=AMMS_2bc14a1b2596d98de1ae3e1ce0bf906e&amp;qlt=95" TargetMode="External"/><Relationship Id="rId34" Type="http://schemas.openxmlformats.org/officeDocument/2006/relationships/hyperlink" Target="https://www.bing.com/images/search?form=xlimg&amp;q=Piau%c3%ad" TargetMode="External"/><Relationship Id="rId7" Type="http://schemas.openxmlformats.org/officeDocument/2006/relationships/hyperlink" Target="https://www.bing.com/th?id=AMMS_cc1b0bfe2bfc6130ae4112f5d7a21664&amp;qlt=95" TargetMode="External"/><Relationship Id="rId12" Type="http://schemas.openxmlformats.org/officeDocument/2006/relationships/hyperlink" Target="https://www.bing.com/images/search?form=xlimg&amp;q=Pernambuco" TargetMode="External"/><Relationship Id="rId17" Type="http://schemas.openxmlformats.org/officeDocument/2006/relationships/hyperlink" Target="https://www.bing.com/th?id=AMMS_48e2102f16d31918917a1d835e041e8d&amp;qlt=95" TargetMode="External"/><Relationship Id="rId25" Type="http://schemas.openxmlformats.org/officeDocument/2006/relationships/hyperlink" Target="https://www.bing.com/th?id=AMMS_4120859c522fee52fa05d3b467754d69&amp;qlt=95" TargetMode="External"/><Relationship Id="rId33" Type="http://schemas.openxmlformats.org/officeDocument/2006/relationships/hyperlink" Target="https://www.bing.com/th?id=AMMS_102a35afc4bfb05929728435d148f96e&amp;qlt=95" TargetMode="External"/><Relationship Id="rId2" Type="http://schemas.openxmlformats.org/officeDocument/2006/relationships/hyperlink" Target="https://www.bing.com/images/search?form=xlimg&amp;q=Santa+Catarina" TargetMode="External"/><Relationship Id="rId16" Type="http://schemas.openxmlformats.org/officeDocument/2006/relationships/hyperlink" Target="https://www.bing.com/images/search?form=xlimg&amp;q=Esp%c3%adrito+Santo+estado" TargetMode="External"/><Relationship Id="rId20" Type="http://schemas.openxmlformats.org/officeDocument/2006/relationships/hyperlink" Target="https://www.bing.com/images/search?form=xlimg&amp;q=Roraima" TargetMode="External"/><Relationship Id="rId29" Type="http://schemas.openxmlformats.org/officeDocument/2006/relationships/hyperlink" Target="https://www.bing.com/th?id=AMMS_09bd4c588decd09a3ef477785748bd0b&amp;qlt=95" TargetMode="External"/><Relationship Id="rId1" Type="http://schemas.openxmlformats.org/officeDocument/2006/relationships/hyperlink" Target="https://www.bing.com/th?id=AMMS_6020e0b3c531ab017abf71e87ba99a84&amp;qlt=95" TargetMode="External"/><Relationship Id="rId6" Type="http://schemas.openxmlformats.org/officeDocument/2006/relationships/hyperlink" Target="https://www.bing.com/images/search?form=xlimg&amp;q=S%c3%a3o+Paulo" TargetMode="External"/><Relationship Id="rId11" Type="http://schemas.openxmlformats.org/officeDocument/2006/relationships/hyperlink" Target="https://www.bing.com/th?id=AMMS_d6d9a5176162e969dc1a6254e6dc5bf2&amp;qlt=95" TargetMode="External"/><Relationship Id="rId24" Type="http://schemas.openxmlformats.org/officeDocument/2006/relationships/hyperlink" Target="https://www.bing.com/images/search?form=xlimg&amp;q=Goi%c3%a1s" TargetMode="External"/><Relationship Id="rId32" Type="http://schemas.openxmlformats.org/officeDocument/2006/relationships/hyperlink" Target="https://www.bing.com/images/search?form=xlimg&amp;q=Sergipe" TargetMode="External"/><Relationship Id="rId5" Type="http://schemas.openxmlformats.org/officeDocument/2006/relationships/hyperlink" Target="https://www.bing.com/th?id=AMMS_91f9f6788cb710cf9a026a6303f9b506&amp;qlt=95" TargetMode="External"/><Relationship Id="rId15" Type="http://schemas.openxmlformats.org/officeDocument/2006/relationships/hyperlink" Target="https://www.bing.com/th?id=AMMS_6472344b8adbd284eb6c0ca5ed389667&amp;qlt=95" TargetMode="External"/><Relationship Id="rId23" Type="http://schemas.openxmlformats.org/officeDocument/2006/relationships/hyperlink" Target="https://www.bing.com/th?id=AMMS_257931a7aa7490c61e722a6dcea02a66&amp;qlt=95" TargetMode="External"/><Relationship Id="rId28" Type="http://schemas.openxmlformats.org/officeDocument/2006/relationships/hyperlink" Target="https://www.bing.com/images/search?form=xlimg&amp;q=Cear%c3%a1" TargetMode="External"/><Relationship Id="rId10" Type="http://schemas.openxmlformats.org/officeDocument/2006/relationships/hyperlink" Target="https://www.bing.com/images/search?form=xlimg&amp;q=Bahia" TargetMode="External"/><Relationship Id="rId19" Type="http://schemas.openxmlformats.org/officeDocument/2006/relationships/hyperlink" Target="https://www.bing.com/th?id=AMMS_4f693ee26b8b48f0e05fa659b86be114&amp;qlt=95" TargetMode="External"/><Relationship Id="rId31" Type="http://schemas.openxmlformats.org/officeDocument/2006/relationships/hyperlink" Target="https://www.bing.com/th?id=AMMS_ea2c86e6b074614fe33bca69e58857df&amp;qlt=95" TargetMode="External"/><Relationship Id="rId4" Type="http://schemas.openxmlformats.org/officeDocument/2006/relationships/hyperlink" Target="https://www.bing.com/images/search?form=xlimg&amp;q=Distrito+Federal+Brasil" TargetMode="External"/><Relationship Id="rId9" Type="http://schemas.openxmlformats.org/officeDocument/2006/relationships/hyperlink" Target="https://www.bing.com/th?id=AMMS_ce776b6a730be771943b25f13dcc5178&amp;qlt=95" TargetMode="External"/><Relationship Id="rId14" Type="http://schemas.openxmlformats.org/officeDocument/2006/relationships/hyperlink" Target="https://www.bing.com/images/search?form=xlimg&amp;q=Tocantins" TargetMode="External"/><Relationship Id="rId22" Type="http://schemas.openxmlformats.org/officeDocument/2006/relationships/hyperlink" Target="https://www.bing.com/images/search?form=xlimg&amp;q=Paran%c3%a1" TargetMode="External"/><Relationship Id="rId27" Type="http://schemas.openxmlformats.org/officeDocument/2006/relationships/hyperlink" Target="https://www.bing.com/th?id=AMMS_446c63c40cbf99929127e996f064ee75&amp;qlt=95" TargetMode="External"/><Relationship Id="rId30" Type="http://schemas.openxmlformats.org/officeDocument/2006/relationships/hyperlink" Target="https://www.bing.com/images/search?form=xlimg&amp;q=Alagoas" TargetMode="Externa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  <types>
    <type name="_linkedentity2">
      <keyFlags>
        <key name="%EntityServiceId">
          <flag name="ShowInCardView" value="0"/>
          <flag name="ShowInDotNotation" value="0"/>
          <flag name="ShowInAutoComplete" value="0"/>
        </key>
        <key name="%EntityCulture">
          <flag name="ShowInCardView" value="0"/>
          <flag name="ShowInDotNotation" value="0"/>
          <flag name="ShowInAutoComplete" value="0"/>
        </key>
        <key name="%EntityId">
          <flag name="ShowInCardView" value="0"/>
          <flag name="ShowInDotNotation" value="0"/>
          <flag name="ShowInAutoComplete" value="0"/>
        </key>
        <key name="%cvi">
          <flag name="ShowInCardView" value="0"/>
          <flag name="ShowInDotNotation" value="0"/>
          <flag name="ShowInAutoComplete" value="0"/>
          <flag name="ExcludeFromCalcComparison" value="1"/>
        </key>
      </keyFlags>
    </type>
    <type name="_linkedentity2core">
      <keyFlags>
        <key name="%EntityServiceId">
          <flag name="ShowInCardView" value="0"/>
          <flag name="ShowInDotNotation" value="0"/>
          <flag name="ShowInAutoComplete" value="0"/>
        </key>
        <key name="%EntityCulture">
          <flag name="ShowInCardView" value="0"/>
          <flag name="ShowInDotNotation" value="0"/>
          <flag name="ShowInAutoComplete" value="0"/>
        </key>
        <key name="%EntityId">
          <flag name="ShowInCardView" value="0"/>
          <flag name="ShowInDotNotation" value="0"/>
          <flag name="ShowInAutoComplete" value="0"/>
        </key>
        <key name="%IsRefreshable">
          <flag name="ShowInCardView" value="0"/>
          <flag name="ShowInAutoComplete" value="0"/>
          <flag name="ExcludeFromCalcComparison" value="1"/>
        </key>
        <key name="%ProviderInfo">
          <flag name="ShowInCardView" value="0"/>
          <flag name="ShowInDotNotation" value="0"/>
          <flag name="ShowInAutoComplete" value="0"/>
        </key>
        <key name="%DataProviderExternalLinkLogo">
          <flag name="ShowInCardView" value="0"/>
          <flag name="ShowInDotNotation" value="0"/>
          <flag name="ShowInAutoComplete" value="0"/>
        </key>
        <key name="%DataProviderExternalLink">
          <flag name="ShowInCardView" value="0"/>
          <flag name="ShowInDotNotation" value="0"/>
          <flag name="ShowInAutoComplete" value="0"/>
        </key>
        <key name="%DataRetrievedTime">
          <flag name="ShowInCardView" value="0"/>
          <flag name="ShowInDotNotation" value="0"/>
          <flag name="ShowInAutoComplete" value="0"/>
          <flag name="ExcludeFromCalcComparison" value="1"/>
        </key>
        <key name="%EntityDomainIdString">
          <flag name="ShowInCardView" value="0"/>
          <flag name="ShowInDotNotation" value="0"/>
          <flag name="ShowInAutoComplete" value="0"/>
        </key>
        <key name="%InfoToolTipLabelNames">
          <flag name="ShowInCardView" value="0"/>
          <flag name="ShowInDotNotation" value="0"/>
          <flag name="ShowInAutoComplete" value="0"/>
        </key>
        <key name="%InfoToolTipLabelValues">
          <flag name="ShowInCardView" value="0"/>
          <flag name="ShowInDotNotation" value="0"/>
          <flag name="ShowInAutoComplete" value="0"/>
        </key>
        <key name="%InfoToolTipLabelValuesType">
          <flag name="ShowInCardView" value="0"/>
          <flag name="ShowInDotNotation" value="0"/>
          <flag name="ShowInAutoComplete" value="0"/>
        </key>
        <key name="%DataProviderString">
          <flag name="ShowInCardView" value="0"/>
          <flag name="ShowInDotNotation" value="0"/>
          <flag name="ShowInAutoComplete" value="0"/>
        </key>
        <key name="%ClassificationId">
          <flag name="ShowInCardView" value="0"/>
          <flag name="ShowInDotNotation" value="0"/>
          <flag name="ShowInAutoComplete" value="0"/>
        </key>
        <key name="%OutdatedReason">
          <flag name="ShowInCardView" value="0"/>
          <flag name="ShowInDotNotation" value="0"/>
          <flag name="ShowInAutoComplete" value="0"/>
          <flag name="ExcludeFromCalcComparison" value="1"/>
        </key>
      </keyFlags>
    </type>
    <type name="_webimage">
      <keyFlags>
        <key name="WebImageIdentifier">
          <flag name="ShowInCardView" value="0"/>
        </key>
      </keyFlags>
    </type>
  </types>
</rvTypesInfo>
</file>

<file path=xl/richData/rdRichValueWebImage.xml><?xml version="1.0" encoding="utf-8"?>
<webImagesSrd xmlns="http://schemas.microsoft.com/office/spreadsheetml/2020/richdatawebimage" xmlns:r="http://schemas.openxmlformats.org/officeDocument/2006/relationships">
  <webImageSrd>
    <address r:id="rId1"/>
    <moreImagesAddress r:id="rId2"/>
  </webImageSrd>
  <webImageSrd>
    <address r:id="rId3"/>
    <moreImagesAddress r:id="rId4"/>
  </webImageSrd>
  <webImageSrd>
    <address r:id="rId5"/>
    <moreImagesAddress r:id="rId6"/>
  </webImageSrd>
  <webImageSrd>
    <address r:id="rId7"/>
    <moreImagesAddress r:id="rId8"/>
  </webImageSrd>
  <webImageSrd>
    <address r:id="rId9"/>
    <moreImagesAddress r:id="rId10"/>
  </webImageSrd>
  <webImageSrd>
    <address r:id="rId11"/>
    <moreImagesAddress r:id="rId12"/>
  </webImageSrd>
  <webImageSrd>
    <address r:id="rId13"/>
    <moreImagesAddress r:id="rId14"/>
  </webImageSrd>
  <webImageSrd>
    <address r:id="rId15"/>
    <moreImagesAddress r:id="rId16"/>
  </webImageSrd>
  <webImageSrd>
    <address r:id="rId17"/>
    <moreImagesAddress r:id="rId18"/>
  </webImageSrd>
  <webImageSrd>
    <address r:id="rId19"/>
    <moreImagesAddress r:id="rId20"/>
  </webImageSrd>
  <webImageSrd>
    <address r:id="rId21"/>
    <moreImagesAddress r:id="rId22"/>
  </webImageSrd>
  <webImageSrd>
    <address r:id="rId23"/>
    <moreImagesAddress r:id="rId24"/>
  </webImageSrd>
  <webImageSrd>
    <address r:id="rId25"/>
    <moreImagesAddress r:id="rId26"/>
  </webImageSrd>
  <webImageSrd>
    <address r:id="rId27"/>
    <moreImagesAddress r:id="rId28"/>
  </webImageSrd>
  <webImageSrd>
    <address r:id="rId29"/>
    <moreImagesAddress r:id="rId30"/>
  </webImageSrd>
  <webImageSrd>
    <address r:id="rId31"/>
    <moreImagesAddress r:id="rId32"/>
  </webImageSrd>
  <webImageSrd>
    <address r:id="rId33"/>
    <moreImagesAddress r:id="rId34"/>
  </webImageSrd>
</webImagesSrd>
</file>

<file path=xl/richData/rdarray.xml><?xml version="1.0" encoding="utf-8"?>
<arrayData xmlns="http://schemas.microsoft.com/office/spreadsheetml/2017/richdata2" count="24">
  <a r="1">
    <v t="r">5</v>
  </a>
  <a r="2">
    <v t="s">Carlos Moisés (Governador)</v>
    <v t="s">Daniela Reinehr (Vice-governador)</v>
  </a>
  <a r="2">
    <v t="s">Ibaneis Rocha (Governador)</v>
    <v t="s">Paco Britto (Vice-governador)</v>
  </a>
  <a r="1">
    <v t="s">Brasília Time Zone</v>
  </a>
  <a r="1">
    <v t="s">Ricardo Nunes (Prefeito)</v>
  </a>
  <a r="1">
    <v t="s">Rodrigo Garcia (Governador)</v>
  </a>
  <a r="2">
    <v t="r">50</v>
    <v t="s">João Leão (Vice-governador)</v>
  </a>
  <a r="2">
    <v t="r">59</v>
    <v t="s">Luciana Santos (Vice-governador)</v>
  </a>
  <a r="2">
    <v t="s">Wilson Miranda Lima (Governador)</v>
    <v t="s">Carlos Almeida (Vice-governador)</v>
  </a>
  <a r="1">
    <v t="s">Wanderlei Barbosa (Governador)</v>
  </a>
  <a r="2">
    <v t="r">83</v>
    <v t="s">Jacqueline Moraes (Vice-governador)</v>
  </a>
  <a r="3">
    <v t="r">93</v>
    <v t="s">João Azevêdo (Governador)</v>
    <v t="s">Lígia Feliciano (Vice-governador)</v>
  </a>
  <a r="2">
    <v t="s">Antonio Denarium (Governador)</v>
    <v t="s">Frutuoso Lins (Vice-governador)</v>
  </a>
  <a r="2">
    <v t="r">109</v>
    <v t="s">Jaime Nunes (Vice-governador)</v>
  </a>
  <a r="2">
    <v t="r">118</v>
    <v t="s">Darci Piana (Vice-governador)</v>
  </a>
  <a r="2">
    <v t="r">127</v>
    <v t="s">Lincoln Tejota (Vice-governador)</v>
  </a>
  <a r="1">
    <v t="r">136</v>
  </a>
  <a r="1">
    <v t="s">Izolda Cela (Governador)</v>
  </a>
  <a r="1">
    <v t="r">152</v>
  </a>
  <a r="2">
    <v t="s">Mauro Mendes (Governador)</v>
    <v t="s">Otaviano Pivetta (Vice-governador)</v>
  </a>
  <a r="2">
    <v t="s">Paulo Dantas (Governador)</v>
    <v t="s">José Wanderley Neto (Vice-governador)</v>
  </a>
  <a r="2">
    <v t="s">Belivaldo Chagas (Governador)</v>
    <v t="s">Eliane Aquino (Vice-governador)</v>
  </a>
  <a r="1">
    <v t="r">184</v>
  </a>
  <a r="2">
    <v t="r">192</v>
    <v t="s">Paulo Brant (Vice-governador)</v>
  </a>
</arrayData>
</file>

<file path=xl/richData/rdrichvalue.xml><?xml version="1.0" encoding="utf-8"?>
<rvData xmlns="http://schemas.microsoft.com/office/spreadsheetml/2017/richdata" count="196">
  <rv s="0">
    <v>536870912</v>
    <v>Rio de Janeiro</v>
    <v>bd69fe3d-bddf-02b9-aeb0-0384ff4b73dd</v>
    <v>pt-BR</v>
    <v>Map</v>
  </rv>
  <rv s="1">
    <fb>1221</fb>
    <v>12</v>
  </rv>
  <rv s="0">
    <v>536870912</v>
    <v>Rio de Janeiro</v>
    <v>3f5a22fa-26bd-86f9-0345-3a6206e8aab5</v>
    <v>pt-BR</v>
    <v>Map</v>
  </rv>
  <rv s="1">
    <fb>-22.9014475</fb>
    <v>13</v>
  </rv>
  <rv s="2">
    <v>https://www.bing.com/search?q=Rio+de+Janeiro&amp;form=skydnc</v>
    <v>Aprenda mais com Bing</v>
  </rv>
  <rv s="0">
    <v>805306368</v>
    <v>Eduardo Paes (Prefeito)</v>
    <v>68456969-9342-dab0-4997-55a174c518c9</v>
    <v>pt-BR</v>
    <v>Generic</v>
  </rv>
  <rv s="3">
    <v>0</v>
  </rv>
  <rv s="1">
    <fb>-43.1789159</fb>
    <v>13</v>
  </rv>
  <rv s="0">
    <v>536870912</v>
    <v>Brasil</v>
    <v>a828cf41-b938-49fe-7986-4b336618d413</v>
    <v>pt-BR</v>
    <v>Map</v>
  </rv>
  <rv s="1">
    <fb>6747815</fb>
    <v>12</v>
  </rv>
  <rv s="4">
    <v>#VALUE!</v>
    <v>pt-BR</v>
    <v>bd69fe3d-bddf-02b9-aeb0-0384ff4b73dd</v>
    <v>536870912</v>
    <v>1</v>
    <v>3</v>
    <v>4</v>
    <v>5</v>
    <v>Rio de Janeiro</v>
    <v>8</v>
    <v>9</v>
    <v>Map</v>
    <v>10</v>
    <v>11</v>
    <v>1</v>
    <v>Rio de Janeiro é um município brasileiro, capital do estado homônimo, situado no Sudeste do país. Maior destino turístico internacional no Brasil, da América Latina e de todo o Hemisfério Sul, a capital fluminense é a cidade brasileira mais conhecida no exterior, funcionando como um "espelho", ou "retrato" nacional, seja positiva ou negativamente. É a segunda maior metrópole do Brasil, a sexta maior da América e a trigésima quinta do mundo. Sua população estimada pelo IBGE para 1.º de julho de 2021 era de 6 775 561 habitantes. Tem o epíteto de Cidade Maravilhosa e aquele que nela nasce é chamado de carioca.</v>
    <v>2</v>
    <v>3</v>
    <v>4</v>
    <v>6</v>
    <v>7</v>
    <v>Rio de Janeiro</v>
    <v>8</v>
    <v>9</v>
    <v>Rio de Janeiro</v>
    <v>mdp/vdpid/6557396357261295617</v>
  </rv>
  <rv s="0">
    <v>536870912</v>
    <v>Santa Catarina</v>
    <v>6262969d-76c7-e65f-1be5-668011a93ff0</v>
    <v>pt-BR</v>
    <v>Map</v>
  </rv>
  <rv s="1">
    <fb>95730.683999999994</fb>
    <v>12</v>
  </rv>
  <rv s="0">
    <v>536870912</v>
    <v>Florianópolis</v>
    <v>21bdeb41-fb0e-9537-f2bb-6ca2732f1d96</v>
    <v>pt-BR</v>
    <v>Map</v>
  </rv>
  <rv s="5">
    <v>0</v>
    <v>10</v>
    <v>21</v>
    <v>6</v>
    <v>0</v>
    <v>Image of Santa Catarina</v>
  </rv>
  <rv s="2">
    <v>https://www.bing.com/search?q=Santa+Catarina&amp;form=skydnc</v>
    <v>Aprenda mais com Bing</v>
  </rv>
  <rv s="3">
    <v>1</v>
  </rv>
  <rv s="0">
    <v>536870912</v>
    <v>Joinville</v>
    <v>5e86234b-4bd7-a488-c6bc-8ed280c1c890</v>
    <v>pt-BR</v>
    <v>Map</v>
  </rv>
  <rv s="1">
    <fb>7252502</fb>
    <v>12</v>
  </rv>
  <rv s="6">
    <v>#VALUE!</v>
    <v>pt-BR</v>
    <v>6262969d-76c7-e65f-1be5-668011a93ff0</v>
    <v>536870912</v>
    <v>1</v>
    <v>17</v>
    <v>18</v>
    <v>19</v>
    <v>Santa Catarina</v>
    <v>8</v>
    <v>20</v>
    <v>Map</v>
    <v>10</v>
    <v>11</v>
    <v>BR-SC</v>
    <v>12</v>
    <v>13</v>
    <v>Santa Catarina é uma das 27 unidades federativas do Brasil, localizada no centro da região Sul do país. É o vigésimo estado em área territorial e o décimo-primeiro mais populoso do país, com 7,3 milhões de habitantes em 2021. Seu território é dividido em 295 municípios, o sexto maior dentre as unidades da Federação, e ocupa uma área de 95 733 km², um pouco maior do que Portugal ou a somatória dos estados brasileiros do Rio de Janeiro e Espírito Santo, mais o Distrito Federal. Sua capital é Florianópolis, segundo município mais populoso do estado, depois de Joinville. Além do Espírito Santo, Santa Catarina é um dos dois estados cuja capital não é o município mais populoso.</v>
    <v>14</v>
    <v>15</v>
    <v>16</v>
    <v>17</v>
    <v>Santa Catarina</v>
    <v>8</v>
    <v>18</v>
    <v>Santa Catarina</v>
    <v>mdp/vdpid/29612</v>
  </rv>
  <rv s="0">
    <v>536870912</v>
    <v>Distrito Federal</v>
    <v>88dfc3b6-8e7a-694d-61b2-96d14f226ec4</v>
    <v>pt-BR</v>
    <v>Map</v>
  </rv>
  <rv s="1">
    <fb>5802</fb>
    <v>12</v>
  </rv>
  <rv s="0">
    <v>536870912</v>
    <v>Brasília</v>
    <v>0f4c1a26-f33c-b6de-a63f-578da6617369</v>
    <v>pt-BR</v>
    <v>Map</v>
  </rv>
  <rv s="5">
    <v>1</v>
    <v>10</v>
    <v>28</v>
    <v>6</v>
    <v>0</v>
    <v>Image of Distrito Federal</v>
  </rv>
  <rv s="2">
    <v>https://www.bing.com/search?q=Distrito+Federal+Brasil&amp;form=skydnc</v>
    <v>Aprenda mais com Bing</v>
  </rv>
  <rv s="3">
    <v>2</v>
  </rv>
  <rv s="1">
    <fb>2570160</fb>
    <v>12</v>
  </rv>
  <rv s="6">
    <v>#VALUE!</v>
    <v>pt-BR</v>
    <v>88dfc3b6-8e7a-694d-61b2-96d14f226ec4</v>
    <v>536870912</v>
    <v>1</v>
    <v>26</v>
    <v>18</v>
    <v>19</v>
    <v>Distrito Federal</v>
    <v>8</v>
    <v>20</v>
    <v>Map</v>
    <v>10</v>
    <v>27</v>
    <v>BR-DF</v>
    <v>21</v>
    <v>22</v>
    <v>O Distrito Federal é uma das 27 unidades federativas do Brasil. Situado na Região Centro-Oeste, é a menor unidade federativa brasileira e a única que não tem municípios, sendo dividida em 33 regiões administrativas, totalizando uma área de 5 760,784 km². Em seu território, está localizada a capital federal do Brasil, Brasília, que é também a sede de governo do Distrito Federal.</v>
    <v>23</v>
    <v>24</v>
    <v>25</v>
    <v>22</v>
    <v>Distrito Federal</v>
    <v>8</v>
    <v>26</v>
    <v>Distrito Federal</v>
    <v>mdp/vdpid/9132</v>
  </rv>
  <rv s="0">
    <v>536870912</v>
    <v>São Paulo</v>
    <v>c6cf2f6e-626c-4267-ae48-9e13ea74d2b9</v>
    <v>pt-BR</v>
    <v>Map</v>
  </rv>
  <rv s="1">
    <fb>1521.11</fb>
    <v>12</v>
  </rv>
  <rv s="0">
    <v>536870912</v>
    <v>São Paulo</v>
    <v>4d56ae2d-1aad-8c4f-dca2-4456acc12f89</v>
    <v>pt-BR</v>
    <v>Map</v>
  </rv>
  <rv s="3">
    <v>3</v>
  </rv>
  <rv s="5">
    <v>2</v>
    <v>10</v>
    <v>36</v>
    <v>6</v>
    <v>0</v>
    <v>Image of São Paulo</v>
  </rv>
  <rv s="1">
    <fb>-23.548665700000001</fb>
    <v>13</v>
  </rv>
  <rv s="2">
    <v>https://www.bing.com/search?q=S%c3%a3o+Paulo&amp;form=skydnc</v>
    <v>Aprenda mais com Bing</v>
  </rv>
  <rv s="3">
    <v>4</v>
  </rv>
  <rv s="1">
    <fb>-46.638252199999997</fb>
    <v>13</v>
  </rv>
  <rv s="1">
    <fb>12400232</fb>
    <v>12</v>
  </rv>
  <rv s="7">
    <v>#VALUE!</v>
    <v>pt-BR</v>
    <v>c6cf2f6e-626c-4267-ae48-9e13ea74d2b9</v>
    <v>536870912</v>
    <v>1</v>
    <v>33</v>
    <v>34</v>
    <v>35</v>
    <v>São Paulo</v>
    <v>8</v>
    <v>20</v>
    <v>Map</v>
    <v>10</v>
    <v>11</v>
    <v>29</v>
    <v>São Paulo é um município brasileiro, capital do estado homônimo e principal centro financeiro, corporativo e mercantil da América do Sul. É a cidade mais populosa do Brasil, do continente americano, da lusofonia e de todo o hemisfério sul. São Paulo é a cidade brasileira mais influente no cenário global, sendo, em 2016, a 11.ª cidade mais globalizada do planeta, recebendo a classificação de cidade global alfa, por parte do Globalization and World Cities Study Group &amp; Network. O lema da cidade, presente em seu brasão oficial, é Non ducor, duco, frase latina que significa "Não sou conduzido, conduzo".</v>
    <v>30</v>
    <v>31</v>
    <v>32</v>
    <v>33</v>
    <v>34</v>
    <v>35</v>
    <v>36</v>
    <v>São Paulo</v>
    <v>8</v>
    <v>37</v>
    <v>São Paulo</v>
    <v>mdp/vdpid/6461109125223809041</v>
  </rv>
  <rv s="1">
    <fb>248222.8</fb>
    <v>12</v>
  </rv>
  <rv s="5">
    <v>3</v>
    <v>10</v>
    <v>44</v>
    <v>6</v>
    <v>0</v>
    <v>Image of São Paulo</v>
  </rv>
  <rv s="2">
    <v>https://www.bing.com/search?q=S%c3%a3o+Paulo+estado&amp;form=skydnc</v>
    <v>Aprenda mais com Bing</v>
  </rv>
  <rv s="3">
    <v>5</v>
  </rv>
  <rv s="1">
    <fb>44035304</fb>
    <v>12</v>
  </rv>
  <rv s="6">
    <v>#VALUE!</v>
    <v>pt-BR</v>
    <v>4d56ae2d-1aad-8c4f-dca2-4456acc12f89</v>
    <v>536870912</v>
    <v>1</v>
    <v>42</v>
    <v>18</v>
    <v>19</v>
    <v>São Paulo</v>
    <v>8</v>
    <v>20</v>
    <v>Map</v>
    <v>10</v>
    <v>43</v>
    <v>BR-SP</v>
    <v>39</v>
    <v>28</v>
    <v>São Paulo é uma das 27 unidades federativas do Brasil. Está situado na Região Sudeste e tem por limites os estados de Minas Gerais a norte e nordeste, Paraná a sul, Rio de Janeiro a leste e Mato Grosso do Sul a oeste, além do Oceano Atlântico a sudeste. É dividido em 645 municípios e sua área total é de 248 219,481 km², o que equivale a 2,9% da superfície do Brasil, sendo pouco maior que o Reino Unido. Sua capital é o município de São Paulo e seu atual governador é Rodrigo Garcia.</v>
    <v>40</v>
    <v>41</v>
    <v>42</v>
    <v>28</v>
    <v>São Paulo</v>
    <v>8</v>
    <v>43</v>
    <v>São Paulo</v>
    <v>mdp/vdpid/29821</v>
  </rv>
  <rv s="0">
    <v>536870912</v>
    <v>Bahia</v>
    <v>e904684f-6d5b-f7bb-c27d-bdb50a0ec8ab</v>
    <v>pt-BR</v>
    <v>Map</v>
  </rv>
  <rv s="1">
    <fb>565733</fb>
    <v>12</v>
  </rv>
  <rv s="0">
    <v>536870912</v>
    <v>Salvador</v>
    <v>c5ab7830-9611-6d00-5607-a97cd3cb3985</v>
    <v>pt-BR</v>
    <v>Map</v>
  </rv>
  <rv s="5">
    <v>4</v>
    <v>10</v>
    <v>49</v>
    <v>6</v>
    <v>0</v>
    <v>Image of Bahia</v>
  </rv>
  <rv s="2">
    <v>https://www.bing.com/search?q=Bahia&amp;form=skydnc</v>
    <v>Aprenda mais com Bing</v>
  </rv>
  <rv s="0">
    <v>805306368</v>
    <v>Rui Costa (Governador)</v>
    <v>bf320a85-003c-5c6e-bb6b-c983f6c1467e</v>
    <v>pt-BR</v>
    <v>Generic</v>
  </rv>
  <rv s="3">
    <v>6</v>
  </rv>
  <rv s="1">
    <fb>15127000</fb>
    <v>12</v>
  </rv>
  <rv s="6">
    <v>#VALUE!</v>
    <v>pt-BR</v>
    <v>e904684f-6d5b-f7bb-c27d-bdb50a0ec8ab</v>
    <v>536870912</v>
    <v>1</v>
    <v>48</v>
    <v>18</v>
    <v>19</v>
    <v>Bahia</v>
    <v>8</v>
    <v>20</v>
    <v>Map</v>
    <v>10</v>
    <v>43</v>
    <v>BR-BA</v>
    <v>46</v>
    <v>47</v>
    <v>A Bahia é uma das 27 unidades federativas do Brasil. Está situada no sul da Região Nordeste, fazendo limite com outros oito estados brasileiros - é o estado brasileiro que mais faz divisas: com Minas Gerais a sul, sudoeste e sudeste; com o Espírito Santo a sul; com Goiás a oeste e sudoeste; com Tocantins a oeste e noroeste; com o Piauí a norte e noroeste; com Pernambuco a norte; e com Alagoas e Sergipe a nordeste. A leste, é banhada pelo Oceano Atlântico e tem, com novecentos quilômetros, a mais extensa costa de todos os estados do Brasil, com acesso ao Oceano Atlântico. Ocupa uma área de 564 733,177 km², sendo pouco maior que a França. Dentre os estados nordestinos, a Bahia representa a maior extensão territorial, a maior população, o maior produto interno bruto e o maior número de municípios. A capital estadual é Salvador, terceiro município mais populoso do Brasil. Além dela, há outros municípios influentes na rede urbana baiana, como as capitais regionais Feira de Santana, Vitória da Conquista, Barreiras, o bipolo Itabuna-Ilhéus e o bipolo Juazeiro-Petrolina, da RIDE Polo Petrolina e Juazeiro.</v>
    <v>48</v>
    <v>49</v>
    <v>51</v>
    <v>47</v>
    <v>Bahia</v>
    <v>8</v>
    <v>52</v>
    <v>Bahia</v>
    <v>mdp/vdpid/2593</v>
  </rv>
  <rv s="0">
    <v>536870912</v>
    <v>Pernambuco</v>
    <v>5538aab1-15ae-294f-2c10-f5083201cca1</v>
    <v>pt-BR</v>
    <v>Map</v>
  </rv>
  <rv s="1">
    <fb>98311.615999999995</fb>
    <v>12</v>
  </rv>
  <rv s="0">
    <v>536870912</v>
    <v>Recife</v>
    <v>56717c0d-ccb4-6a32-53ba-4a80ef2afa79</v>
    <v>pt-BR</v>
    <v>Map</v>
  </rv>
  <rv s="5">
    <v>5</v>
    <v>10</v>
    <v>54</v>
    <v>6</v>
    <v>0</v>
    <v>Image of Pernambuco</v>
  </rv>
  <rv s="2">
    <v>https://www.bing.com/search?q=Pernambuco&amp;form=skydnc</v>
    <v>Aprenda mais com Bing</v>
  </rv>
  <rv s="0">
    <v>805306368</v>
    <v>Paulo Câmara (Governador)</v>
    <v>bd4637fe-2719-5658-25f8-198bc848472e</v>
    <v>pt-BR</v>
    <v>Generic</v>
  </rv>
  <rv s="3">
    <v>7</v>
  </rv>
  <rv s="1">
    <fb>9277727</fb>
    <v>12</v>
  </rv>
  <rv s="6">
    <v>#VALUE!</v>
    <v>pt-BR</v>
    <v>5538aab1-15ae-294f-2c10-f5083201cca1</v>
    <v>536870912</v>
    <v>1</v>
    <v>53</v>
    <v>18</v>
    <v>19</v>
    <v>Pernambuco</v>
    <v>8</v>
    <v>20</v>
    <v>Map</v>
    <v>10</v>
    <v>43</v>
    <v>BR-PE</v>
    <v>55</v>
    <v>56</v>
    <v>Pernambuco é uma das 27 unidades federativas do Brasil. Está localizado no centro-leste da região Nordeste e tem como limites os estados da Paraíba, do Ceará, de Alagoas, da Bahia e do Piauí, além de ser banhado pelo oceano Atlântico. Ocupa uma área de 98 149,119 km². Também fazem parte do seu território os arquipélagos de Fernando de Noronha e São Pedro e São Paulo. Sua capital é Recife e a sede administrativa é o Palácio do Campo das Princesas. O atual governador é Paulo Câmara. Pernambuco é a sétima unidade federativa mais populosa do Brasil, e possui o décimo maior PIB do país e o maior PIB per capita entre os estados nordestinos. Já sua capital, Recife, é sede da concentração urbana mais rica e populosa do Norte-Nordeste. No interior do estado, as cidades mais importantes são Caruaru e Petrolina.</v>
    <v>57</v>
    <v>58</v>
    <v>60</v>
    <v>56</v>
    <v>Pernambuco</v>
    <v>8</v>
    <v>61</v>
    <v>Pernambuco</v>
    <v>mdp/vdpid/25687</v>
  </rv>
  <rv s="0">
    <v>536870912</v>
    <v>Amazonas</v>
    <v>f79e57ca-6fc1-5a6a-015b-38d90f33902f</v>
    <v>pt-BR</v>
    <v>Map</v>
  </rv>
  <rv s="1">
    <fb>1570745.7</fb>
    <v>12</v>
  </rv>
  <rv s="0">
    <v>536870912</v>
    <v>Manaus</v>
    <v>0e7323bc-9e74-834a-bf82-eb015e395767</v>
    <v>pt-BR</v>
    <v>Map</v>
  </rv>
  <rv s="2">
    <v>https://www.bing.com/search?q=Amazonas&amp;form=skydnc</v>
    <v>Aprenda mais com Bing</v>
  </rv>
  <rv s="3">
    <v>8</v>
  </rv>
  <rv s="1">
    <fb>3873743</fb>
    <v>12</v>
  </rv>
  <rv s="8">
    <v>#VALUE!</v>
    <v>pt-BR</v>
    <v>f79e57ca-6fc1-5a6a-015b-38d90f33902f</v>
    <v>536870912</v>
    <v>1</v>
    <v>58</v>
    <v>59</v>
    <v>60</v>
    <v>Amazonas</v>
    <v>8</v>
    <v>9</v>
    <v>Map</v>
    <v>10</v>
    <v>43</v>
    <v>BR-AM</v>
    <v>64</v>
    <v>65</v>
    <v>Amazonas é uma das 27 unidades federativas do Brasil. Está situado na Região Norte, sendo o maior estado do país em extensão territorial, com uma área de 1 559 167,878 km², constituindo-se na nona maior subdivisão mundial, sendo maior que as áreas da França, Espanha, Suécia e Grécia somadas. Seria o décimo sexto maior país do mundo em área territorial, pouco superior à Mongólia. É maior que a região Nordeste, e maior que as regiões Sul e Sudeste juntas, e equivale a 2,25 vezes a área do estado norte-americano do Texas. A área média de seus 62 municípios é de 25 335 km², superior à área do estado brasileiro de Sergipe. O maior de seus municípios em extensão territorial é Barcelos, com 122 476 km² e o menor é Iranduba, com 2 215 km². Localiza-se no território amazonense o Pico da Neblina, ponto mais alto do Brasil, com 2 995 metros de altitude. Sua capital é o município de Manaus e seu atual governador é Wilson Lima.</v>
    <v>66</v>
    <v>67</v>
    <v>65</v>
    <v>Amazonas</v>
    <v>8</v>
    <v>68</v>
    <v>Amazonas</v>
    <v>mdp/vdpid/1419</v>
  </rv>
  <rv s="0">
    <v>536870912</v>
    <v>Tocantins</v>
    <v>f7a46dfe-e192-d6f7-e5f8-084e555ba7cb</v>
    <v>pt-BR</v>
    <v>Map</v>
  </rv>
  <rv s="1">
    <fb>277620.90999999997</fb>
    <v>12</v>
  </rv>
  <rv s="0">
    <v>536870912</v>
    <v>Palmas</v>
    <v>983ef397-ecb9-e541-6d0a-abd6a475708b</v>
    <v>pt-BR</v>
    <v>Map</v>
  </rv>
  <rv s="5">
    <v>6</v>
    <v>10</v>
    <v>65</v>
    <v>6</v>
    <v>0</v>
    <v>Image of Tocantins</v>
  </rv>
  <rv s="2">
    <v>https://www.bing.com/search?q=Tocantins&amp;form=skydnc</v>
    <v>Aprenda mais com Bing</v>
  </rv>
  <rv s="3">
    <v>9</v>
  </rv>
  <rv s="1">
    <fb>1496880</fb>
    <v>12</v>
  </rv>
  <rv s="6">
    <v>#VALUE!</v>
    <v>pt-BR</v>
    <v>f7a46dfe-e192-d6f7-e5f8-084e555ba7cb</v>
    <v>536870912</v>
    <v>1</v>
    <v>64</v>
    <v>18</v>
    <v>19</v>
    <v>Tocantins</v>
    <v>8</v>
    <v>20</v>
    <v>Map</v>
    <v>10</v>
    <v>43</v>
    <v>BR-TO</v>
    <v>71</v>
    <v>72</v>
    <v>Tocantins é uma das 27 unidades federativas do Brasil, sendo o seu mais novo estado. Está localizado a sudeste da Região Norte e tem como limites Goiás a sul, Mato Grosso a oeste e sudoeste, Pará a oeste e noroeste, Maranhão a norte, nordeste e leste, Piauí a leste e Bahia a leste e sudeste. Sua capital é a cidade planejada de Palmas que, dentre as capitais estaduais brasileiras, é a menos populosa. Na bandeira nacional e no selo nacional do Brasil, o Tocantins é representado pela estrela Adhara.</v>
    <v>73</v>
    <v>74</v>
    <v>75</v>
    <v>72</v>
    <v>Tocantins</v>
    <v>8</v>
    <v>76</v>
    <v>Tocantins</v>
    <v>mdp/vdpid/33535</v>
  </rv>
  <rv s="0">
    <v>536870912</v>
    <v>Espírito Santo</v>
    <v>dbc4d679-53e7-49d7-c6b3-88a4ca7f522f</v>
    <v>pt-BR</v>
    <v>Map</v>
  </rv>
  <rv s="1">
    <fb>46077.5</fb>
    <v>12</v>
  </rv>
  <rv s="0">
    <v>536870912</v>
    <v>Vitória</v>
    <v>295a805d-1fbe-cc31-527c-d2ed40f0571f</v>
    <v>pt-BR</v>
    <v>Map</v>
  </rv>
  <rv s="5">
    <v>7</v>
    <v>10</v>
    <v>73</v>
    <v>6</v>
    <v>0</v>
    <v>Image of Espírito Santo</v>
  </rv>
  <rv s="2">
    <v>https://www.bing.com/search?q=Esp%c3%adrito+Santo+estado&amp;form=skydnc</v>
    <v>Aprenda mais com Bing</v>
  </rv>
  <rv s="0">
    <v>805306368</v>
    <v>Renato Casagrande (Governador)</v>
    <v>fcec7bca-c46e-5b42-ca39-1149e829eb02</v>
    <v>pt-BR</v>
    <v>Generic</v>
  </rv>
  <rv s="3">
    <v>10</v>
  </rv>
  <rv s="0">
    <v>536870912</v>
    <v>Serra</v>
    <v>dad55fac-b259-da6a-371b-91fe6ec16ea6</v>
    <v>pt-BR</v>
    <v>Map</v>
  </rv>
  <rv s="1">
    <fb>3885049</fb>
    <v>12</v>
  </rv>
  <rv s="6">
    <v>#VALUE!</v>
    <v>pt-BR</v>
    <v>dbc4d679-53e7-49d7-c6b3-88a4ca7f522f</v>
    <v>536870912</v>
    <v>1</v>
    <v>72</v>
    <v>18</v>
    <v>19</v>
    <v>Espírito Santo</v>
    <v>8</v>
    <v>20</v>
    <v>Map</v>
    <v>10</v>
    <v>43</v>
    <v>BR-ES</v>
    <v>79</v>
    <v>80</v>
    <v>O Espírito Santo é uma das 27 unidades federativas do Brasil. Está localizado na região Sudeste. Faz divisa com o oceano Atlântico a leste, com a Bahia ao norte, com Minas Gerais a oeste e com o estado do Rio de Janeiro ao sul. Sua área é de 46 095,583 km². É o quarto menor estado do Brasil, maior apenas que Sergipe, Alagoas e Rio de Janeiro. Sua capital é Vitória, porém Serra é o município mais populoso. O Espírito Santo é, ao lado de Santa Catarina, um dos únicos entre os estados do Brasil no qual a capital não é o município mais populoso de seu estado. O gentílico do estado é capixaba ou espírito-santense.</v>
    <v>81</v>
    <v>82</v>
    <v>84</v>
    <v>85</v>
    <v>Espírito Santo</v>
    <v>8</v>
    <v>86</v>
    <v>Espírito Santo</v>
    <v>mdp/vdpid/10442</v>
  </rv>
  <rv s="0">
    <v>536870912</v>
    <v>Paraíba</v>
    <v>f5be810b-3322-2252-c10f-35206d84b548</v>
    <v>pt-BR</v>
    <v>Map</v>
  </rv>
  <rv s="1">
    <fb>56584.6</fb>
    <v>12</v>
  </rv>
  <rv s="0">
    <v>536870912</v>
    <v>João Pessoa</v>
    <v>f852fc8b-376e-7935-25cc-611d2ff4a8a4</v>
    <v>pt-BR</v>
    <v>Map</v>
  </rv>
  <rv s="5">
    <v>8</v>
    <v>10</v>
    <v>81</v>
    <v>6</v>
    <v>0</v>
    <v>Image of Paraíba</v>
  </rv>
  <rv s="2">
    <v>https://www.bing.com/search?q=Para%c3%adba&amp;form=skydnc</v>
    <v>Aprenda mais com Bing</v>
  </rv>
  <rv s="0">
    <v>805306368</v>
    <v>Ricardo Coutinho (Governador)</v>
    <v>ab15be2f-6321-8b97-1c5c-2a43df152506</v>
    <v>pt-BR</v>
    <v>Generic</v>
  </rv>
  <rv s="3">
    <v>11</v>
  </rv>
  <rv s="1">
    <fb>3914421</fb>
    <v>12</v>
  </rv>
  <rv s="6">
    <v>#VALUE!</v>
    <v>pt-BR</v>
    <v>f5be810b-3322-2252-c10f-35206d84b548</v>
    <v>536870912</v>
    <v>1</v>
    <v>79</v>
    <v>18</v>
    <v>19</v>
    <v>Paraíba</v>
    <v>8</v>
    <v>20</v>
    <v>Map</v>
    <v>10</v>
    <v>80</v>
    <v>BR-PB</v>
    <v>89</v>
    <v>90</v>
    <v>A Paraíba é uma das 27 unidades federativas do Brasil, localizada a leste da Região Nordeste. Seu território é dividido em 223 municípios e apresenta uma área de 56 467,242 km², sendo um pouco menor que a Croácia. Banhada a leste pelo Oceano Atlântico, limita-se a norte com o Rio Grande do Norte, a sul com Pernambuco e a oeste com o Ceará. Com mais de quatro milhões de habitantes, a Paraíba é o 15º estado mais populoso do Brasil. A capital e município mais populoso é João Pessoa. Outros municípios com população superior a cem mil habitantes são Campina Grande, Santa Rita e Patos.</v>
    <v>91</v>
    <v>92</v>
    <v>94</v>
    <v>90</v>
    <v>Paraíba</v>
    <v>8</v>
    <v>95</v>
    <v>Paraíba</v>
    <v>mdp/vdpid/25208</v>
  </rv>
  <rv s="0">
    <v>536870912</v>
    <v>Roraima</v>
    <v>3b8383a2-7c79-31f6-2359-bd9ba2099213</v>
    <v>pt-BR</v>
    <v>Map</v>
  </rv>
  <rv s="1">
    <fb>223644.527</fb>
    <v>12</v>
  </rv>
  <rv s="0">
    <v>536870912</v>
    <v>Boa Vista</v>
    <v>148d41af-b8d0-433c-cf93-35bc7eb0acd8</v>
    <v>pt-BR</v>
    <v>Map</v>
  </rv>
  <rv s="5">
    <v>9</v>
    <v>10</v>
    <v>86</v>
    <v>6</v>
    <v>0</v>
    <v>Image of Roraima</v>
  </rv>
  <rv s="2">
    <v>https://www.bing.com/search?q=Roraima&amp;form=skydnc</v>
    <v>Aprenda mais com Bing</v>
  </rv>
  <rv s="3">
    <v>12</v>
  </rv>
  <rv s="1">
    <fb>488072</fb>
    <v>12</v>
  </rv>
  <rv s="6">
    <v>#VALUE!</v>
    <v>pt-BR</v>
    <v>3b8383a2-7c79-31f6-2359-bd9ba2099213</v>
    <v>536870912</v>
    <v>1</v>
    <v>85</v>
    <v>18</v>
    <v>19</v>
    <v>Roraima</v>
    <v>8</v>
    <v>20</v>
    <v>Map</v>
    <v>10</v>
    <v>80</v>
    <v>BR-RR</v>
    <v>98</v>
    <v>99</v>
    <v>Roraima é uma das 27 unidades federativas do Brasil. Está situado na Região Norte do país, sendo o estado mais setentrional da federação. Tem por limites a Venezuela, ao norte e noroeste; Guiana, ao leste; Pará, ao sudeste; e Amazonas, ao sul e oeste. Ocupa uma área aproximada de 224 300,506 km², pouco maior que a Bielorrússia, sendo o décimo quarto maior estado brasileiro. Em Boa Vista, única capital brasileira totalmente no Hemisfério Norte, encontra-se a sede do governo estadual, atualmente presidido por Antonio Denarium.</v>
    <v>100</v>
    <v>101</v>
    <v>102</v>
    <v>99</v>
    <v>Roraima</v>
    <v>8</v>
    <v>103</v>
    <v>Roraima</v>
    <v>mdp/vdpid/37694</v>
  </rv>
  <rv s="0">
    <v>536870912</v>
    <v>Amapá</v>
    <v>28d39e09-4b9f-31f6-cc72-48b1f9be59db</v>
    <v>pt-BR</v>
    <v>Map</v>
  </rv>
  <rv s="1">
    <fb>142814.58499999999</fb>
    <v>12</v>
  </rv>
  <rv s="0">
    <v>536870912</v>
    <v>Macapá</v>
    <v>6b5232d0-84df-a06c-254b-982c3efb61ad</v>
    <v>pt-BR</v>
    <v>Map</v>
  </rv>
  <rv s="2">
    <v>https://www.bing.com/search?q=Amap%c3%a1&amp;form=skydnc</v>
    <v>Aprenda mais com Bing</v>
  </rv>
  <rv s="0">
    <v>805306368</v>
    <v>Waldez Góes (Governador)</v>
    <v>6d6214c7-194a-bc3f-422c-d8a612f58b11</v>
    <v>pt-BR</v>
    <v>Generic</v>
  </rv>
  <rv s="3">
    <v>13</v>
  </rv>
  <rv s="1">
    <fb>751000</fb>
    <v>12</v>
  </rv>
  <rv s="8">
    <v>#VALUE!</v>
    <v>pt-BR</v>
    <v>28d39e09-4b9f-31f6-cc72-48b1f9be59db</v>
    <v>536870912</v>
    <v>1</v>
    <v>93</v>
    <v>59</v>
    <v>60</v>
    <v>Amapá</v>
    <v>8</v>
    <v>9</v>
    <v>Map</v>
    <v>10</v>
    <v>43</v>
    <v>BR-AP</v>
    <v>106</v>
    <v>107</v>
    <v>Amapá é uma das 27 unidades federativas do Brasil. Está situado a nordeste da Região Norte, no Platô das Guianas. O seu território é de 142 828,521 km², o que o torna o 18º maior estado do Brasil. É limitado pelo estado do Pará, a oeste e sul; pela Guiana Francesa, a norte; pelo Oceano Atlântico a nordeste; pela foz do Rio Amazonas, a leste; e pelo Suriname, a noroeste.</v>
    <v>108</v>
    <v>110</v>
    <v>107</v>
    <v>Amapá</v>
    <v>8</v>
    <v>111</v>
    <v>Amapá</v>
    <v>mdp/vdpid/37690</v>
  </rv>
  <rv s="0">
    <v>536870912</v>
    <v>Paraná</v>
    <v>a33450c4-459a-0682-41ee-635b343dd785</v>
    <v>pt-BR</v>
    <v>Map</v>
  </rv>
  <rv s="1">
    <fb>199298.98199999999</fb>
    <v>12</v>
  </rv>
  <rv s="0">
    <v>536870912</v>
    <v>Curitiba</v>
    <v>9de3a316-28c1-de67-4f2f-b5f04beb753a</v>
    <v>pt-BR</v>
    <v>Map</v>
  </rv>
  <rv s="5">
    <v>10</v>
    <v>10</v>
    <v>100</v>
    <v>6</v>
    <v>0</v>
    <v>Image of Paraná</v>
  </rv>
  <rv s="2">
    <v>https://www.bing.com/search?q=Paran%c3%a1&amp;form=skydnc</v>
    <v>Aprenda mais com Bing</v>
  </rv>
  <rv s="0">
    <v>805306368</v>
    <v>Ratinho Júnior (Governador)</v>
    <v>9fe83006-4ffb-319f-cb3b-87c0590d9334</v>
    <v>pt-BR</v>
    <v>Generic</v>
  </rv>
  <rv s="3">
    <v>14</v>
  </rv>
  <rv s="1">
    <fb>11597484</fb>
    <v>12</v>
  </rv>
  <rv s="6">
    <v>#VALUE!</v>
    <v>pt-BR</v>
    <v>a33450c4-459a-0682-41ee-635b343dd785</v>
    <v>536870912</v>
    <v>1</v>
    <v>98</v>
    <v>18</v>
    <v>19</v>
    <v>Paraná</v>
    <v>8</v>
    <v>20</v>
    <v>Map</v>
    <v>10</v>
    <v>99</v>
    <v>BR-PR</v>
    <v>114</v>
    <v>115</v>
    <v>A agricultura no Paraná é, historicamente, uma das principais atividades econômicas desse estado brasileiro. Os mais importantes produtos da agricultura paranaense são o trigo, o milho e a soja, riquezas das quais foram obtidos recordes de safra, competindo com os demais estados. Em 2019 a safra paranaense de grãos de verão foi estimada em 23,3 milhões de toneladas.</v>
    <v>116</v>
    <v>117</v>
    <v>119</v>
    <v>115</v>
    <v>Paraná</v>
    <v>8</v>
    <v>120</v>
    <v>Paraná</v>
    <v>mdp/vdpid/9340570</v>
  </rv>
  <rv s="0">
    <v>536870912</v>
    <v>Goiás</v>
    <v>38750702-647a-b72a-2cec-e4a55e078f36</v>
    <v>pt-BR</v>
    <v>Map</v>
  </rv>
  <rv s="1">
    <fb>340086</fb>
    <v>12</v>
  </rv>
  <rv s="0">
    <v>536870912</v>
    <v>Goiânia</v>
    <v>1829f4c1-96fd-bd18-3015-b31e76f2f860</v>
    <v>pt-BR</v>
    <v>Map</v>
  </rv>
  <rv s="5">
    <v>11</v>
    <v>10</v>
    <v>107</v>
    <v>6</v>
    <v>0</v>
    <v>Image of Goiás</v>
  </rv>
  <rv s="2">
    <v>https://www.bing.com/search?q=Goi%c3%a1s&amp;form=skydnc</v>
    <v>Aprenda mais com Bing</v>
  </rv>
  <rv s="0">
    <v>805306368</v>
    <v>Ronaldo Caiado (Governador)</v>
    <v>9ca0a890-509d-b68d-cec0-182352886568</v>
    <v>pt-BR</v>
    <v>Generic</v>
  </rv>
  <rv s="3">
    <v>15</v>
  </rv>
  <rv s="1">
    <fb>6523222</fb>
    <v>12</v>
  </rv>
  <rv s="6">
    <v>#VALUE!</v>
    <v>pt-BR</v>
    <v>38750702-647a-b72a-2cec-e4a55e078f36</v>
    <v>536870912</v>
    <v>1</v>
    <v>106</v>
    <v>18</v>
    <v>19</v>
    <v>Goiás</v>
    <v>8</v>
    <v>20</v>
    <v>Map</v>
    <v>10</v>
    <v>43</v>
    <v>BR-GO</v>
    <v>123</v>
    <v>124</v>
    <v>Goiás é uma das 27 unidades federativas do Brasil. Situa-se na Região Centro-Oeste do país, no Planalto Central brasileiro. O seu território é de 340 257 km², sendo delimitado pelos estados de Mato Grosso do Sul a sudoeste, Mato Grosso a oeste, Tocantins a norte, Bahia a nordeste, Minas Gerais a leste, sudeste e sul e pelo Distrito Federal a leste.</v>
    <v>125</v>
    <v>126</v>
    <v>128</v>
    <v>124</v>
    <v>Goiás</v>
    <v>8</v>
    <v>129</v>
    <v>Goiás</v>
    <v>mdp/vdpid/12285</v>
  </rv>
  <rv s="0">
    <v>536870912</v>
    <v>Maranhão</v>
    <v>98274980-9da4-ff5e-78a1-e512bb4179ca</v>
    <v>pt-BR</v>
    <v>Map</v>
  </rv>
  <rv s="1">
    <fb>331983.29300000001</fb>
    <v>12</v>
  </rv>
  <rv s="0">
    <v>536870912</v>
    <v>São Luís</v>
    <v>0d9a2270-bec5-b9fe-5a63-fd6e2ed304cb</v>
    <v>pt-BR</v>
    <v>Map</v>
  </rv>
  <rv s="5">
    <v>12</v>
    <v>10</v>
    <v>115</v>
    <v>6</v>
    <v>0</v>
    <v>Image of Maranhão</v>
  </rv>
  <rv s="2">
    <v>https://www.bing.com/search?q=Maranh%c3%a3o&amp;form=skydnc</v>
    <v>Aprenda mais com Bing</v>
  </rv>
  <rv s="0">
    <v>805306368</v>
    <v>Carlos Brandão (Governador)</v>
    <v>d95745eb-2bfd-1802-f363-609f5048226d</v>
    <v>pt-BR</v>
    <v>Generic</v>
  </rv>
  <rv s="3">
    <v>16</v>
  </rv>
  <rv s="1">
    <fb>6851000</fb>
    <v>12</v>
  </rv>
  <rv s="6">
    <v>#VALUE!</v>
    <v>pt-BR</v>
    <v>98274980-9da4-ff5e-78a1-e512bb4179ca</v>
    <v>536870912</v>
    <v>1</v>
    <v>114</v>
    <v>18</v>
    <v>19</v>
    <v>Maranhão</v>
    <v>8</v>
    <v>20</v>
    <v>Map</v>
    <v>10</v>
    <v>43</v>
    <v>BR-MA</v>
    <v>132</v>
    <v>133</v>
    <v>Maranhão é uma das 27 unidades federativas do Brasil, localizada na Região Nordeste englobando a sub-região Meio-Norte do País. O estado faz divisa com três estados brasileiros: Piauí, Tocantins e Pará, além do Oceano Atlântico. Com área de 331 937,450 km² e com 217 municípios, é o segundo maior estado da região Nordeste e o oitavo maior estado do Brasil. Com uma população de 7 153 262 habitantes, é o 11º estado mais populoso do país. A capital e cidade mais populosa é São Luís. Outros municípios com população superior a cem mil habitantes são Imperatriz, São José de Ribamar, Timon, Caxias, Codó, Paço do Lumiar, Açailândia e Bacabal. Em termos de produto interno bruto, é o quarto estado mais rico da Região Nordeste do Brasil e o 17º estado mais rico do Brasil. As principais atividades econômicas são a indústria, os serviços, o extrativismo vegetal, a agricultura e a pecuária. Possui um dos menores Índices de Desenvolvimento Humano do país, com 0,687 pontos.</v>
    <v>134</v>
    <v>135</v>
    <v>137</v>
    <v>133</v>
    <v>Maranhão</v>
    <v>8</v>
    <v>138</v>
    <v>Maranhão</v>
    <v>mdp/vdpid/20242</v>
  </rv>
  <rv s="0">
    <v>536870912</v>
    <v>Ceará</v>
    <v>b598e20e-29fb-ccf6-be0e-2650e6ba40c5</v>
    <v>pt-BR</v>
    <v>Map</v>
  </rv>
  <rv s="1">
    <fb>146348.29999999999</fb>
    <v>12</v>
  </rv>
  <rv s="0">
    <v>536870912</v>
    <v>Fortaleza</v>
    <v>1e17d357-221f-4eab-3680-b32a5807a0e9</v>
    <v>pt-BR</v>
    <v>Map</v>
  </rv>
  <rv s="5">
    <v>13</v>
    <v>10</v>
    <v>122</v>
    <v>6</v>
    <v>0</v>
    <v>Image of Ceará</v>
  </rv>
  <rv s="2">
    <v>https://www.bing.com/search?q=Cear%c3%a1&amp;form=skydnc</v>
    <v>Aprenda mais com Bing</v>
  </rv>
  <rv s="3">
    <v>17</v>
  </rv>
  <rv s="1">
    <fb>8778576</fb>
    <v>12</v>
  </rv>
  <rv s="6">
    <v>#VALUE!</v>
    <v>pt-BR</v>
    <v>b598e20e-29fb-ccf6-be0e-2650e6ba40c5</v>
    <v>536870912</v>
    <v>1</v>
    <v>121</v>
    <v>18</v>
    <v>19</v>
    <v>Ceará</v>
    <v>8</v>
    <v>20</v>
    <v>Map</v>
    <v>10</v>
    <v>80</v>
    <v>BR-CE</v>
    <v>141</v>
    <v>142</v>
    <v>O Ceará é uma das 27 unidades federativas do Brasil. Está situado no norte da Região Nordeste e tem por limites o Oceano Atlântico a norte e nordeste, Rio Grande do Norte e Paraíba a leste, Pernambuco ao sul e Piauí a oeste. Sua área total é de 148 894,442 km², ou 9,37% da área do Nordeste e 1,74% da superfície do Brasil. A população estimada do estado para 1.° de julho de 2021 era de 9 240 580 habitantes, segundo o Instituto Brasileiro de Geografia e Estatística, sendo o oitavo estado mais populoso do país.</v>
    <v>143</v>
    <v>144</v>
    <v>145</v>
    <v>142</v>
    <v>Ceará</v>
    <v>8</v>
    <v>146</v>
    <v>Ceará</v>
    <v>mdp/vdpid/9363273</v>
  </rv>
  <rv s="0">
    <v>536870912</v>
    <v>Pará</v>
    <v>7a0db70a-73db-e83d-e548-6fab7a523b35</v>
    <v>pt-BR</v>
    <v>Map</v>
  </rv>
  <rv s="1">
    <fb>1247689.5</fb>
    <v>12</v>
  </rv>
  <rv s="0">
    <v>536870912</v>
    <v>Belém</v>
    <v>19b9814d-03b5-b9a5-2607-ca75413f8674</v>
    <v>pt-BR</v>
    <v>Map</v>
  </rv>
  <rv s="2">
    <v>https://www.bing.com/search?q=Par%c3%a1&amp;form=skydnc</v>
    <v>Aprenda mais com Bing</v>
  </rv>
  <rv s="0">
    <v>805306368</v>
    <v>Helder Barbalho (Governador)</v>
    <v>1323c458-fbb7-4141-9278-070cd6dc5c75</v>
    <v>pt-BR</v>
    <v>Generic</v>
  </rv>
  <rv s="3">
    <v>18</v>
  </rv>
  <rv s="1">
    <fb>8073924</fb>
    <v>12</v>
  </rv>
  <rv s="8">
    <v>#VALUE!</v>
    <v>pt-BR</v>
    <v>7a0db70a-73db-e83d-e548-6fab7a523b35</v>
    <v>536870912</v>
    <v>1</v>
    <v>129</v>
    <v>59</v>
    <v>60</v>
    <v>Pará</v>
    <v>8</v>
    <v>9</v>
    <v>Map</v>
    <v>10</v>
    <v>43</v>
    <v>BR-PA</v>
    <v>149</v>
    <v>150</v>
    <v>Pará é uma das 27 unidades federativas do Brasil. Está situado na Região Norte, sendo o segundo maior estado do país em extensão territorial, com uma área de 1 245 870,798 km², constituindo-se na décima-terceira maior subdivisão mundial. É maior que a área da Região Sudeste brasileira, com seus quatro estados, e um pouco menor que o estado norte-americano do Alasca. É dividido em 144 municípios, que possuem área média de 8 651,881 km². O maior deles é Altamira com 159 533 km², o quinto município mais extenso do mundo e o maior município do Brasil; o menor é Marituba, com 103 km². Sua capital é o município de Belém e seu atual governador é Helder Barbalho.</v>
    <v>151</v>
    <v>153</v>
    <v>150</v>
    <v>Pará</v>
    <v>8</v>
    <v>154</v>
    <v>Pará</v>
    <v>mdp/vdpid/25190</v>
  </rv>
  <rv s="0">
    <v>536870912</v>
    <v>Mato Grosso</v>
    <v>af05c757-4d77-813e-b8eb-97635c07f37a</v>
    <v>pt-BR</v>
    <v>Map</v>
  </rv>
  <rv s="1">
    <fb>903357</fb>
    <v>12</v>
  </rv>
  <rv s="0">
    <v>536870912</v>
    <v>Cuiabá</v>
    <v>40ab2387-3bef-ed49-417a-241a85867199</v>
    <v>pt-BR</v>
    <v>Map</v>
  </rv>
  <rv s="2">
    <v>https://www.bing.com/search?q=Mato+Grosso&amp;form=skydnc</v>
    <v>Aprenda mais com Bing</v>
  </rv>
  <rv s="3">
    <v>19</v>
  </rv>
  <rv s="1">
    <fb>3224357</fb>
    <v>12</v>
  </rv>
  <rv s="8">
    <v>#VALUE!</v>
    <v>pt-BR</v>
    <v>af05c757-4d77-813e-b8eb-97635c07f37a</v>
    <v>536870912</v>
    <v>1</v>
    <v>134</v>
    <v>59</v>
    <v>60</v>
    <v>Mato Grosso</v>
    <v>8</v>
    <v>9</v>
    <v>Map</v>
    <v>10</v>
    <v>43</v>
    <v>BR-MT</v>
    <v>157</v>
    <v>158</v>
    <v>Mato Grosso é uma das 27 unidades federativas do Brasil. Está localizado na região Centro-Oeste. Tem a porção norte de seu território ocupada pela Amazônia Legal, sendo o sul do estado pertencente ao Centro-Sul do Brasil. Extensas planícies e amplos planaltos dominam a área, sendo que a maior parte destes se encontra abaixo dos seiscentos metros de altitude. Juruena, Teles Pires, Xingu, Araguaia, Paraguai, Rio Guaporé, Piqueri, São Lourenço, das Mortes, Rio Vermelho e Cuiabá são os rios principais.</v>
    <v>159</v>
    <v>160</v>
    <v>158</v>
    <v>Mato Grosso</v>
    <v>8</v>
    <v>161</v>
    <v>Mato Grosso</v>
    <v>mdp/vdpid/20600</v>
  </rv>
  <rv s="0">
    <v>536870912</v>
    <v>Alagoas</v>
    <v>4e3f1ba4-1948-0514-728a-55b34ab027b4</v>
    <v>pt-BR</v>
    <v>Map</v>
  </rv>
  <rv s="1">
    <fb>27767.7</fb>
    <v>12</v>
  </rv>
  <rv s="0">
    <v>536870912</v>
    <v>Maceió</v>
    <v>3a74ac5b-60e1-5ea5-109b-bb1168cfbc75</v>
    <v>pt-BR</v>
    <v>Map</v>
  </rv>
  <rv s="5">
    <v>14</v>
    <v>10</v>
    <v>139</v>
    <v>6</v>
    <v>0</v>
    <v>Image of Alagoas</v>
  </rv>
  <rv s="2">
    <v>https://www.bing.com/search?q=Alagoas&amp;form=skydnc</v>
    <v>Aprenda mais com Bing</v>
  </rv>
  <rv s="3">
    <v>20</v>
  </rv>
  <rv s="1">
    <fb>3321730</fb>
    <v>12</v>
  </rv>
  <rv s="6">
    <v>#VALUE!</v>
    <v>pt-BR</v>
    <v>4e3f1ba4-1948-0514-728a-55b34ab027b4</v>
    <v>536870912</v>
    <v>1</v>
    <v>138</v>
    <v>18</v>
    <v>19</v>
    <v>Alagoas</v>
    <v>8</v>
    <v>20</v>
    <v>Map</v>
    <v>10</v>
    <v>43</v>
    <v>BR-AL</v>
    <v>164</v>
    <v>165</v>
    <v>Alagoas é uma das 27 unidades federativas do Brasil. Está situado no leste da região Nordeste e tem como limites Pernambuco, Sergipe, Bahia e o Oceano Atlântico. Ocupa uma área de 27 778,506 km², sendo ligeiramente maior que o Haiti. Sua capital é a cidade de Maceió e a sede administrativa é o Palácio República dos Palmares. O atual governador é Paulo Dantas.</v>
    <v>166</v>
    <v>167</v>
    <v>168</v>
    <v>165</v>
    <v>Alagoas</v>
    <v>8</v>
    <v>169</v>
    <v>Alagoas</v>
    <v>mdp/vdpid/1008</v>
  </rv>
  <rv s="0">
    <v>536870912</v>
    <v>Sergipe</v>
    <v>a7f70762-a1ab-d5de-8bf0-3eb8532c1eb9</v>
    <v>pt-BR</v>
    <v>Map</v>
  </rv>
  <rv s="1">
    <fb>21910.400000000001</fb>
    <v>12</v>
  </rv>
  <rv s="0">
    <v>536870912</v>
    <v>Aracaju</v>
    <v>0ef2209c-3b6b-3a02-bebd-abc43fdbbec1</v>
    <v>pt-BR</v>
    <v>Map</v>
  </rv>
  <rv s="5">
    <v>15</v>
    <v>10</v>
    <v>144</v>
    <v>6</v>
    <v>0</v>
    <v>Image of Sergipe</v>
  </rv>
  <rv s="2">
    <v>https://www.bing.com/search?q=Sergipe&amp;form=skydnc</v>
    <v>Aprenda mais com Bing</v>
  </rv>
  <rv s="3">
    <v>21</v>
  </rv>
  <rv s="1">
    <fb>2225000</fb>
    <v>12</v>
  </rv>
  <rv s="6">
    <v>#VALUE!</v>
    <v>pt-BR</v>
    <v>a7f70762-a1ab-d5de-8bf0-3eb8532c1eb9</v>
    <v>536870912</v>
    <v>1</v>
    <v>143</v>
    <v>18</v>
    <v>19</v>
    <v>Sergipe</v>
    <v>8</v>
    <v>20</v>
    <v>Map</v>
    <v>10</v>
    <v>43</v>
    <v>BR-SE</v>
    <v>172</v>
    <v>173</v>
    <v>Sergipe é uma das 27 unidades federativas do Brasil. Está situado na Região Nordeste e tem por limites o oceano Atlântico a leste e os estados da Bahia, a oeste e a sul, e de Alagoas, a norte, do qual está separado pelo Rio São Francisco. Está dividido em 75 municípios e é o menor dos estados brasileiros, ocupando uma área total de 21 910 km², tornando-o pouco maior que El Salvador. Em 2021, sua população foi recenseada em 2,3 milhões de habitantes. Sua capital e cidade mais populosa é Aracaju, sendo a mesma sede da Região Metropolitana de Aracaju, que inclui os municípios de Barra dos Coqueiros, Nossa Senhora do Socorro e São Cristóvão.</v>
    <v>174</v>
    <v>175</v>
    <v>176</v>
    <v>173</v>
    <v>Sergipe</v>
    <v>8</v>
    <v>177</v>
    <v>Sergipe</v>
    <v>mdp/vdpid/30351</v>
  </rv>
  <rv s="0">
    <v>536870912</v>
    <v>Piauí</v>
    <v>ab11433a-8357-ae6d-67fe-8570cc271399</v>
    <v>pt-BR</v>
    <v>Map</v>
  </rv>
  <rv s="1">
    <fb>251529.18599999999</fb>
    <v>12</v>
  </rv>
  <rv s="0">
    <v>536870912</v>
    <v>Teresina</v>
    <v>56cf9d17-8e80-24c2-087b-559ee99aa747</v>
    <v>pt-BR</v>
    <v>Map</v>
  </rv>
  <rv s="5">
    <v>16</v>
    <v>10</v>
    <v>152</v>
    <v>6</v>
    <v>0</v>
    <v>Image of Piauí</v>
  </rv>
  <rv s="2">
    <v>https://www.bing.com/search?q=Piau%c3%ad&amp;form=skydnc</v>
    <v>Aprenda mais com Bing</v>
  </rv>
  <rv s="0">
    <v>805306368</v>
    <v>Regina Sousa (Governador)</v>
    <v>81514303-0e2c-acfc-e86d-8a8d13a5139a</v>
    <v>pt-BR</v>
    <v>Generic</v>
  </rv>
  <rv s="3">
    <v>22</v>
  </rv>
  <rv s="1">
    <fb>3194718</fb>
    <v>12</v>
  </rv>
  <rv s="6">
    <v>#VALUE!</v>
    <v>pt-BR</v>
    <v>ab11433a-8357-ae6d-67fe-8570cc271399</v>
    <v>536870912</v>
    <v>1</v>
    <v>151</v>
    <v>18</v>
    <v>19</v>
    <v>Piauí</v>
    <v>8</v>
    <v>20</v>
    <v>Map</v>
    <v>10</v>
    <v>43</v>
    <v>BR-PI</v>
    <v>180</v>
    <v>181</v>
    <v>Piauí é uma das 27 unidades federativas do Brasil. Localiza-se no noroeste da Região Nordeste, engloba a Sub-Região Meio-Norte do Brasil. Limita-se com cinco estados: Ceará e Pernambuco a leste, Bahia a sul e sudeste, Tocantins a sudoeste e Maranhão a oeste. Delimitado pelo Oceano Atlântico ao norte, o Piauí tem o menor litoral do Brasil, com 66 km. Sua área é de 251 577,738 km², sendo pouco maior que o Reino Unido, e tem uma população de 3 289 290 habitantes.</v>
    <v>182</v>
    <v>183</v>
    <v>185</v>
    <v>181</v>
    <v>Piauí</v>
    <v>8</v>
    <v>186</v>
    <v>Piauí</v>
    <v>mdp/vdpid/37693</v>
  </rv>
  <rv s="0">
    <v>536870912</v>
    <v>Minas Gerais</v>
    <v>974e2066-dee0-aecd-c973-50babb750033</v>
    <v>pt-BR</v>
    <v>Map</v>
  </rv>
  <rv s="1">
    <fb>586528.29</fb>
    <v>12</v>
  </rv>
  <rv s="0">
    <v>536870912</v>
    <v>Belo Horizonte</v>
    <v>7d1c2d93-f138-98ba-29b3-c39c6ce5b7d8</v>
    <v>pt-BR</v>
    <v>Map</v>
  </rv>
  <rv s="2">
    <v>https://www.bing.com/search?q=Minas+Gerais&amp;form=skydnc</v>
    <v>Aprenda mais com Bing</v>
  </rv>
  <rv s="0">
    <v>805306368</v>
    <v>Romeu Zema (Governador)</v>
    <v>0b49577b-e092-186e-762c-adfe99963c80</v>
    <v>pt-BR</v>
    <v>Generic</v>
  </rv>
  <rv s="3">
    <v>23</v>
  </rv>
  <rv s="1">
    <fb>20593356</fb>
    <v>12</v>
  </rv>
  <rv s="8">
    <v>#VALUE!</v>
    <v>pt-BR</v>
    <v>974e2066-dee0-aecd-c973-50babb750033</v>
    <v>536870912</v>
    <v>1</v>
    <v>156</v>
    <v>59</v>
    <v>60</v>
    <v>Minas Gerais</v>
    <v>8</v>
    <v>9</v>
    <v>Map</v>
    <v>10</v>
    <v>80</v>
    <v>BR-MG</v>
    <v>189</v>
    <v>190</v>
    <v>Minas Gerais é uma das 27 unidades federativas do Brasil, sendo o quarto estado com a maior área territorial e o segundo em quantidade de habitantes, localizada na Região Sudeste do país. Limita-se ao sul e sudoeste com São Paulo, a oeste com Mato Grosso do Sul, a noroeste com Goiás e Distrito Federal, a norte e nordeste com a Bahia, a leste com o Espírito Santo e a sudeste com o Rio de Janeiro. Seu território é subdividido em 853 municípios, a maior quantidade dentre os estados brasileiros.</v>
    <v>191</v>
    <v>193</v>
    <v>190</v>
    <v>Minas Gerais</v>
    <v>8</v>
    <v>194</v>
    <v>Minas Gerais</v>
    <v>mdp/vdpid/37692</v>
  </rv>
</rvData>
</file>

<file path=xl/richData/rdrichvaluestructure.xml><?xml version="1.0" encoding="utf-8"?>
<rvStructures xmlns="http://schemas.microsoft.com/office/spreadsheetml/2017/richdata" count="9">
  <s t="_linkedentity2">
    <k n="%EntityServiceId" t="i"/>
    <k n="_DisplayString" t="s"/>
    <k n="%EntityId" t="s"/>
    <k n="%EntityCulture" t="s"/>
    <k n="_Icon" t="s"/>
  </s>
  <s t="_formattednumber">
    <k n="_Format" t="spb"/>
  </s>
  <s t="_hyperlink">
    <k n="Address" t="s"/>
    <k n="Text" t="s"/>
  </s>
  <s t="_array">
    <k n="array" t="a"/>
  </s>
  <s t="_linkedentity2core">
    <k n="_CRID" t="e"/>
    <k n="%EntityCulture" t="s"/>
    <k n="%EntityId" t="s"/>
    <k n="%EntityServiceId" t="i"/>
    <k n="%IsRefreshable" t="b"/>
    <k n="_Attribution" t="spb"/>
    <k n="_CanonicalPropertyNames" t="spb"/>
    <k n="_Display" t="spb"/>
    <k n="_DisplayString" t="s"/>
    <k n="_Flags" t="spb"/>
    <k n="_Format" t="spb"/>
    <k n="_Icon" t="s"/>
    <k n="_Provider" t="spb"/>
    <k n="_SubLabel" t="spb"/>
    <k n="`Área" t="r"/>
    <k n="Descrição" t="s"/>
    <k n="Divisão administrativa 1 (Estado/província/outro)" t="r"/>
    <k n="Latitude" t="r"/>
    <k n="LearnMoreOnLink" t="r"/>
    <k n="Líder(es)" t="r"/>
    <k n="Longitude" t="r"/>
    <k n="Nome" t="s"/>
    <k n="País/região" t="r"/>
    <k n="População" t="r"/>
    <k n="UniqueName" t="s"/>
    <k n="VDPID/VSID" t="s"/>
  </s>
  <s t="_webimage">
    <k n="WebImageIdentifier" t="i"/>
    <k n="_Provider" t="spb"/>
    <k n="Attribution" t="spb"/>
    <k n="CalcOrigin" t="i"/>
    <k n="ComputedImage" t="b"/>
    <k n="Text" t="s"/>
  </s>
  <s t="_linkedentity2core">
    <k n="_CRID" t="e"/>
    <k n="%EntityCulture" t="s"/>
    <k n="%EntityId" t="s"/>
    <k n="%EntityServiceId" t="i"/>
    <k n="%IsRefreshable" t="b"/>
    <k n="_Attribution" t="spb"/>
    <k n="_CanonicalPropertyNames" t="spb"/>
    <k n="_Display" t="spb"/>
    <k n="_DisplayString" t="s"/>
    <k n="_Flags" t="spb"/>
    <k n="_Format" t="spb"/>
    <k n="_Icon" t="s"/>
    <k n="_Provider" t="spb"/>
    <k n="_SubLabel" t="spb"/>
    <k n="Abreviação" t="s"/>
    <k n="`Área" t="r"/>
    <k n="Capital/Maior Cidade" t="r"/>
    <k n="Descrição" t="s"/>
    <k n="Imagem" t="r"/>
    <k n="LearnMoreOnLink" t="r"/>
    <k n="Líder(es)" t="r"/>
    <k n="Maior cidade" t="r"/>
    <k n="Nome" t="s"/>
    <k n="País/região" t="r"/>
    <k n="População" t="r"/>
    <k n="UniqueName" t="s"/>
    <k n="VDPID/VSID" t="s"/>
  </s>
  <s t="_linkedentity2core">
    <k n="_CRID" t="e"/>
    <k n="%EntityCulture" t="s"/>
    <k n="%EntityId" t="s"/>
    <k n="%EntityServiceId" t="i"/>
    <k n="%IsRefreshable" t="b"/>
    <k n="_Attribution" t="spb"/>
    <k n="_CanonicalPropertyNames" t="spb"/>
    <k n="_Display" t="spb"/>
    <k n="_DisplayString" t="s"/>
    <k n="_Flags" t="spb"/>
    <k n="_Format" t="spb"/>
    <k n="_Icon" t="s"/>
    <k n="_Provider" t="spb"/>
    <k n="_SubLabel" t="spb"/>
    <k n="`Área" t="r"/>
    <k n="Descrição" t="s"/>
    <k n="Divisão administrativa 1 (Estado/província/outro)" t="r"/>
    <k n="Fusos horários" t="r"/>
    <k n="Imagem" t="r"/>
    <k n="Latitude" t="r"/>
    <k n="LearnMoreOnLink" t="r"/>
    <k n="Líder(es)" t="r"/>
    <k n="Longitude" t="r"/>
    <k n="Nome" t="s"/>
    <k n="País/região" t="r"/>
    <k n="População" t="r"/>
    <k n="UniqueName" t="s"/>
    <k n="VDPID/VSID" t="s"/>
  </s>
  <s t="_linkedentity2core">
    <k n="_CRID" t="e"/>
    <k n="%EntityCulture" t="s"/>
    <k n="%EntityId" t="s"/>
    <k n="%EntityServiceId" t="i"/>
    <k n="%IsRefreshable" t="b"/>
    <k n="_Attribution" t="spb"/>
    <k n="_CanonicalPropertyNames" t="spb"/>
    <k n="_Display" t="spb"/>
    <k n="_DisplayString" t="s"/>
    <k n="_Flags" t="spb"/>
    <k n="_Format" t="spb"/>
    <k n="_Icon" t="s"/>
    <k n="_Provider" t="spb"/>
    <k n="_SubLabel" t="spb"/>
    <k n="Abreviação" t="s"/>
    <k n="`Área" t="r"/>
    <k n="Capital/Maior Cidade" t="r"/>
    <k n="Descrição" t="s"/>
    <k n="LearnMoreOnLink" t="r"/>
    <k n="Líder(es)" t="r"/>
    <k n="Maior cidade" t="r"/>
    <k n="Nome" t="s"/>
    <k n="País/região" t="r"/>
    <k n="População" t="r"/>
    <k n="UniqueName" t="s"/>
    <k n="VDPID/VSID" t="s"/>
  </s>
</rvStructures>
</file>

<file path=xl/richData/rdsupportingpropertybag.xml><?xml version="1.0" encoding="utf-8"?>
<supportingPropertyBags xmlns="http://schemas.microsoft.com/office/spreadsheetml/2017/richdata2">
  <spbArrays count="4">
    <a count="25">
      <v t="s">%EntityServiceId</v>
      <v t="s">%IsRefreshable</v>
      <v t="s">_CanonicalPropertyNames</v>
      <v t="s">%EntityCulture</v>
      <v t="s">%EntityId</v>
      <v t="s">_Icon</v>
      <v t="s">_Provider</v>
      <v t="s">_Attribution</v>
      <v t="s">_Display</v>
      <v t="s">Nome</v>
      <v t="s">_Format</v>
      <v t="s">Divisão administrativa 1 (Estado/província/outro)</v>
      <v t="s">País/região</v>
      <v t="s">Líder(es)</v>
      <v t="s">_SubLabel</v>
      <v t="s">População</v>
      <v t="s">`Área</v>
      <v t="s">Latitude</v>
      <v t="s">Longitude</v>
      <v t="s">_Flags</v>
      <v t="s">VDPID/VSID</v>
      <v t="s">UniqueName</v>
      <v t="s">_DisplayString</v>
      <v t="s">LearnMoreOnLink</v>
      <v t="s">Descrição</v>
    </a>
    <a count="26">
      <v t="s">%EntityServiceId</v>
      <v t="s">%IsRefreshable</v>
      <v t="s">_CanonicalPropertyNames</v>
      <v t="s">%EntityCulture</v>
      <v t="s">%EntityId</v>
      <v t="s">_Icon</v>
      <v t="s">_Provider</v>
      <v t="s">_Attribution</v>
      <v t="s">_Display</v>
      <v t="s">Nome</v>
      <v t="s">_Format</v>
      <v t="s">Capital/Maior Cidade</v>
      <v t="s">Líder(es)</v>
      <v t="s">País/região</v>
      <v t="s">_SubLabel</v>
      <v t="s">População</v>
      <v t="s">`Área</v>
      <v t="s">Abreviação</v>
      <v t="s">Maior cidade</v>
      <v t="s">_Flags</v>
      <v t="s">VDPID/VSID</v>
      <v t="s">UniqueName</v>
      <v t="s">_DisplayString</v>
      <v t="s">LearnMoreOnLink</v>
      <v t="s">Imagem</v>
      <v t="s">Descrição</v>
    </a>
    <a count="27">
      <v t="s">%EntityServiceId</v>
      <v t="s">%IsRefreshable</v>
      <v t="s">_CanonicalPropertyNames</v>
      <v t="s">%EntityCulture</v>
      <v t="s">%EntityId</v>
      <v t="s">_Icon</v>
      <v t="s">_Provider</v>
      <v t="s">_Attribution</v>
      <v t="s">_Display</v>
      <v t="s">Nome</v>
      <v t="s">_Format</v>
      <v t="s">Divisão administrativa 1 (Estado/província/outro)</v>
      <v t="s">País/região</v>
      <v t="s">Líder(es)</v>
      <v t="s">_SubLabel</v>
      <v t="s">População</v>
      <v t="s">`Área</v>
      <v t="s">Latitude</v>
      <v t="s">Longitude</v>
      <v t="s">Fusos horários</v>
      <v t="s">_Flags</v>
      <v t="s">VDPID/VSID</v>
      <v t="s">UniqueName</v>
      <v t="s">_DisplayString</v>
      <v t="s">LearnMoreOnLink</v>
      <v t="s">Imagem</v>
      <v t="s">Descrição</v>
    </a>
    <a count="25">
      <v t="s">%EntityServiceId</v>
      <v t="s">%IsRefreshable</v>
      <v t="s">_CanonicalPropertyNames</v>
      <v t="s">%EntityCulture</v>
      <v t="s">%EntityId</v>
      <v t="s">_Icon</v>
      <v t="s">_Provider</v>
      <v t="s">_Attribution</v>
      <v t="s">_Display</v>
      <v t="s">Nome</v>
      <v t="s">_Format</v>
      <v t="s">Capital/Maior Cidade</v>
      <v t="s">Líder(es)</v>
      <v t="s">País/região</v>
      <v t="s">_SubLabel</v>
      <v t="s">População</v>
      <v t="s">`Área</v>
      <v t="s">Abreviação</v>
      <v t="s">Maior cidade</v>
      <v t="s">_Flags</v>
      <v t="s">VDPID/VSID</v>
      <v t="s">UniqueName</v>
      <v t="s">_DisplayString</v>
      <v t="s">LearnMoreOnLink</v>
      <v t="s">Descrição</v>
    </a>
  </spbArrays>
  <spbData count="157">
    <spb s="0">
      <v xml:space="preserve">Wikipedia	Wikipedia	</v>
      <v xml:space="preserve">CC-BY-SA	CC-BY-SA	</v>
      <v xml:space="preserve">http://en.wikipedia.org/wiki/Rio_de_Janeiro	http://pt.wikipedia.org/wiki/Rio_de_Janeiro	</v>
      <v xml:space="preserve">http://creativecommons.org/licenses/by-sa/3.0/	http://creativecommons.org/licenses/by-sa/3.0/	</v>
    </spb>
    <spb s="0">
      <v xml:space="preserve">Wikipedia	</v>
      <v xml:space="preserve">CC-BY-SA	</v>
      <v xml:space="preserve">http://en.wikipedia.org/wiki/Rio_de_Janeiro	</v>
      <v xml:space="preserve">http://creativecommons.org/licenses/by-sa/3.0/	</v>
    </spb>
    <spb s="0">
      <v xml:space="preserve">Wikipedia	</v>
      <v xml:space="preserve">CC-BY-SA	</v>
      <v xml:space="preserve">http://pt.wikipedia.org/wiki/Rio_de_Janeiro	</v>
      <v xml:space="preserve">http://creativecommons.org/licenses/by-sa/3.0/	</v>
    </spb>
    <spb s="1">
      <v>0</v>
      <v>1</v>
      <v>2</v>
      <v>1</v>
      <v>0</v>
      <v>0</v>
      <v>0</v>
    </spb>
    <spb s="2">
      <v>Name</v>
      <v>Area</v>
      <v>Latitude</v>
      <v>Description</v>
      <v>Longitude</v>
      <v>Population</v>
      <v>UniqueName</v>
      <v>VDPID/VSID</v>
      <v>Country/region</v>
      <v>LearnMoreOnLink</v>
      <v>Admin Division 1 (State/province/other)</v>
    </spb>
    <spb s="3">
      <v>0</v>
      <v>Name</v>
      <v>LearnMoreOnLink</v>
    </spb>
    <spb s="4">
      <v>0</v>
      <v>0</v>
    </spb>
    <spb s="5">
      <v>0</v>
      <v>0</v>
      <v>0</v>
    </spb>
    <spb s="6">
      <v>6</v>
      <v>7</v>
      <v>7</v>
      <v>7</v>
    </spb>
    <spb s="7">
      <v>1</v>
      <v>2</v>
    </spb>
    <spb s="8">
      <v>https://www.bing.com</v>
      <v>https://www.bing.com/th?id=Ga%5Cbing_yt.png&amp;w=100&amp;h=40&amp;c=0&amp;pid=0.1</v>
      <v>Da plataforma Bing</v>
    </spb>
    <spb s="9">
      <v>km quadrado</v>
      <v>2020</v>
    </spb>
    <spb s="10">
      <v>3</v>
    </spb>
    <spb s="10">
      <v>4</v>
    </spb>
    <spb s="0">
      <v xml:space="preserve">Wikipedia	Wikipedia	</v>
      <v xml:space="preserve">CC-BY-SA	CC-BY-SA	</v>
      <v xml:space="preserve">http://en.wikipedia.org/wiki/Santa_Catarina_(state)	http://pt.wikipedia.org/wiki/Santa_Catarina	</v>
      <v xml:space="preserve">http://creativecommons.org/licenses/by-sa/3.0/	http://creativecommons.org/licenses/by-sa/3.0/	</v>
    </spb>
    <spb s="0">
      <v xml:space="preserve">Wikipedia	</v>
      <v xml:space="preserve">CC-BY-SA	</v>
      <v xml:space="preserve">http://en.wikipedia.org/wiki/Santa_Catarina_(state)	</v>
      <v xml:space="preserve">http://creativecommons.org/licenses/by-sa/3.0/	</v>
    </spb>
    <spb s="0">
      <v xml:space="preserve">Wikipedia	</v>
      <v xml:space="preserve">CC-BY-SA	</v>
      <v xml:space="preserve">http://pt.wikipedia.org/wiki/Santa_Catarina	</v>
      <v xml:space="preserve">http://creativecommons.org/licenses/by-sa/3.0/	</v>
    </spb>
    <spb s="11">
      <v>14</v>
      <v>15</v>
      <v>16</v>
      <v>15</v>
      <v>15</v>
      <v>14</v>
      <v>14</v>
      <v>14</v>
      <v>14</v>
    </spb>
    <spb s="12">
      <v>Name</v>
      <v>Area</v>
      <v>Image</v>
      <v>Description</v>
      <v>Population</v>
      <v>Abbreviation</v>
      <v>UniqueName</v>
      <v>VDPID/VSID</v>
      <v>Country/region</v>
      <v>Largest city</v>
      <v>LearnMoreOnLink</v>
      <v>Capital/Major City</v>
    </spb>
    <spb s="3">
      <v>1</v>
      <v>Name</v>
      <v>LearnMoreOnLink</v>
    </spb>
    <spb s="13">
      <v>1</v>
      <v>5</v>
      <v>2</v>
    </spb>
    <spb s="0">
      <v xml:space="preserve">Wikipedia	</v>
      <v xml:space="preserve">Public domain	</v>
      <v xml:space="preserve">http://en.wikipedia.org/wiki/Santa_Catarina_(state)	</v>
      <v xml:space="preserve">http://en.wikipedia.org/wiki/Public_domain	</v>
    </spb>
    <spb s="0">
      <v xml:space="preserve">Wikipedia	Wikipedia	</v>
      <v xml:space="preserve">CC-BY-SA	CC-BY-SA	</v>
      <v xml:space="preserve">http://en.wikipedia.org/wiki/Federal_District_(Brazil)	http://pt.wikipedia.org/wiki/Distrito_Federal_(Brasil)	</v>
      <v xml:space="preserve">http://creativecommons.org/licenses/by-sa/3.0/	http://creativecommons.org/licenses/by-sa/3.0/	</v>
    </spb>
    <spb s="0">
      <v xml:space="preserve">Wikipedia	Wikipedia	</v>
      <v xml:space="preserve">CC-BY-SA	CC-BY-SA	</v>
      <v xml:space="preserve">http://en.wikipedia.org/wiki/Federal_District_(Brazil)	http://es.wikipedia.org/wiki/Distrito_Federal_(Brasil)	</v>
      <v xml:space="preserve">http://creativecommons.org/licenses/by-sa/3.0/	http://creativecommons.org/licenses/by-sa/3.0/	</v>
    </spb>
    <spb s="0">
      <v xml:space="preserve">Wikipedia	</v>
      <v xml:space="preserve">CC-BY-SA	</v>
      <v xml:space="preserve">http://pt.wikipedia.org/wiki/Distrito_Federal_(Brasil)	</v>
      <v xml:space="preserve">http://creativecommons.org/licenses/by-sa/3.0/	</v>
    </spb>
    <spb s="0">
      <v xml:space="preserve">Wikipedia	</v>
      <v xml:space="preserve">CC-BY-SA	</v>
      <v xml:space="preserve">http://en.wikipedia.org/wiki/Federal_District_(Brazil)	</v>
      <v xml:space="preserve">http://creativecommons.org/licenses/by-sa/3.0/	</v>
    </spb>
    <spb s="11">
      <v>22</v>
      <v>23</v>
      <v>24</v>
      <v>25</v>
      <v>25</v>
      <v>22</v>
      <v>22</v>
      <v>22</v>
      <v>22</v>
    </spb>
    <spb s="9">
      <v>km quadrado</v>
      <v>2007</v>
    </spb>
    <spb s="0">
      <v xml:space="preserve">Wikipedia	</v>
      <v xml:space="preserve">Public domain	</v>
      <v xml:space="preserve">http://en.wikipedia.org/wiki/Federal_District_(Brazil)	</v>
      <v xml:space="preserve">http://en.wikipedia.org/wiki/Public_domain	</v>
    </spb>
    <spb s="0">
      <v xml:space="preserve">Wikipedia	Wikipedia	</v>
      <v xml:space="preserve">CC-BY-SA	CC-BY-SA	</v>
      <v xml:space="preserve">http://pt.wikipedia.org/wiki/São_Paulo	http://it.wikipedia.org/wiki/San_Paolo_(Brasile)	</v>
      <v xml:space="preserve">http://creativecommons.org/licenses/by-sa/3.0/	http://creativecommons.org/licenses/by-sa/3.0/	</v>
    </spb>
    <spb s="0">
      <v xml:space="preserve">Wikipedia	</v>
      <v xml:space="preserve">CC-BY-SA	</v>
      <v xml:space="preserve">http://en.wikipedia.org/wiki/São_Paulo	</v>
      <v xml:space="preserve">http://creativecommons.org/licenses/by-sa/3.0/	</v>
    </spb>
    <spb s="0">
      <v xml:space="preserve">Wikipedia	</v>
      <v xml:space="preserve">CC-BY-SA	</v>
      <v xml:space="preserve">http://pt.wikipedia.org/wiki/São_Paulo	</v>
      <v xml:space="preserve">http://creativecommons.org/licenses/by-sa/3.0/	</v>
    </spb>
    <spb s="0">
      <v xml:space="preserve">Wikipedia	Wikipedia	Wikipedia	</v>
      <v xml:space="preserve">CC-BY-SA	CC-BY-SA	CC-BY-SA	</v>
      <v xml:space="preserve">http://en.wikipedia.org/wiki/São_Paulo	http://pt.wikipedia.org/wiki/São_Paulo	http://it.wikipedia.org/wiki/San_Paolo_(Brasile)	</v>
      <v xml:space="preserve">http://creativecommons.org/licenses/by-sa/3.0/	http://creativecommons.org/licenses/by-sa/3.0/	http://creativecommons.org/licenses/by-sa/3.0/	</v>
    </spb>
    <spb s="1">
      <v>29</v>
      <v>30</v>
      <v>31</v>
      <v>30</v>
      <v>29</v>
      <v>32</v>
      <v>32</v>
    </spb>
    <spb s="14">
      <v>Name</v>
      <v>Area</v>
      <v>Image</v>
      <v>Latitude</v>
      <v>Description</v>
      <v>Longitude</v>
      <v>Population</v>
      <v>UniqueName</v>
      <v>VDPID/VSID</v>
      <v>Country/region</v>
      <v>LearnMoreOnLink</v>
      <v>Admin Division 1 (State/province/other)</v>
    </spb>
    <spb s="3">
      <v>2</v>
      <v>Name</v>
      <v>LearnMoreOnLink</v>
    </spb>
    <spb s="0">
      <v xml:space="preserve">Wikipedia	</v>
      <v xml:space="preserve">Public domain	</v>
      <v xml:space="preserve">http://it.wikipedia.org/wiki/San_Paolo_(Brasile)	</v>
      <v xml:space="preserve">http://en.wikipedia.org/wiki/Public_domain	</v>
    </spb>
    <spb s="0">
      <v xml:space="preserve">Wikipedia	Wikipedia	</v>
      <v xml:space="preserve">CC-BY-SA	CC-BY-SA	</v>
      <v xml:space="preserve">http://pt.wikipedia.org/wiki/São_Paulo_(estado)	http://it.wikipedia.org/wiki/San_Paolo_(stato)	</v>
      <v xml:space="preserve">http://creativecommons.org/licenses/by-sa/3.0/	http://creativecommons.org/licenses/by-sa/3.0/	</v>
    </spb>
    <spb s="0">
      <v xml:space="preserve">Wikipedia	</v>
      <v xml:space="preserve">CC-BY-SA	</v>
      <v xml:space="preserve">http://en.wikipedia.org/wiki/São_Paulo_(state)	</v>
      <v xml:space="preserve">http://creativecommons.org/licenses/by-sa/3.0/	</v>
    </spb>
    <spb s="0">
      <v xml:space="preserve">Wikipedia	</v>
      <v xml:space="preserve">CC-BY-SA	</v>
      <v xml:space="preserve">http://pt.wikipedia.org/wiki/São_Paulo_(estado)	</v>
      <v xml:space="preserve">http://creativecommons.org/licenses/by-sa/3.0/	</v>
    </spb>
    <spb s="0">
      <v xml:space="preserve">Wikipedia	</v>
      <v xml:space="preserve">CC-BY-SA	</v>
      <v xml:space="preserve">http://it.wikipedia.org/wiki/San_Paolo_(stato)	</v>
      <v xml:space="preserve">http://creativecommons.org/licenses/by-sa/3.0/	</v>
    </spb>
    <spb s="0">
      <v xml:space="preserve">Wikipedia	Wikipedia	Wikipedia	</v>
      <v xml:space="preserve">CC-BY-SA	CC-BY-SA	CC-BY-SA	</v>
      <v xml:space="preserve">http://pt.wikipedia.org/wiki/São_Paulo_(estado)	http://en.wikipedia.org/wiki/São_Paulo_(state)	http://it.wikipedia.org/wiki/San_Paolo_(stato)	</v>
      <v xml:space="preserve">http://creativecommons.org/licenses/by-sa/3.0/	http://creativecommons.org/licenses/by-sa/3.0/	http://creativecommons.org/licenses/by-sa/3.0/	</v>
    </spb>
    <spb s="11">
      <v>37</v>
      <v>38</v>
      <v>39</v>
      <v>40</v>
      <v>38</v>
      <v>37</v>
      <v>41</v>
      <v>41</v>
      <v>41</v>
    </spb>
    <spb s="9">
      <v>km quadrado</v>
      <v>2014</v>
    </spb>
    <spb s="0">
      <v xml:space="preserve">Wikipedia	</v>
      <v xml:space="preserve">Public domain	</v>
      <v xml:space="preserve">http://en.wikipedia.org/wiki/São_Paulo_(state)	</v>
      <v xml:space="preserve">http://en.wikipedia.org/wiki/Public_domain	</v>
    </spb>
    <spb s="0">
      <v xml:space="preserve">Wikipedia	Wikipedia	</v>
      <v xml:space="preserve">CC-BY-SA	CC-BY-SA	</v>
      <v xml:space="preserve">http://en.wikipedia.org/wiki/Bahia	http://pt.wikipedia.org/wiki/Bahia	</v>
      <v xml:space="preserve">http://creativecommons.org/licenses/by-sa/3.0/	http://creativecommons.org/licenses/by-sa/3.0/	</v>
    </spb>
    <spb s="0">
      <v xml:space="preserve">Wikipedia	</v>
      <v xml:space="preserve">CC-BY-SA	</v>
      <v xml:space="preserve">http://en.wikipedia.org/wiki/Bahia	</v>
      <v xml:space="preserve">http://creativecommons.org/licenses/by-sa/3.0/	</v>
    </spb>
    <spb s="0">
      <v xml:space="preserve">Wikipedia	</v>
      <v xml:space="preserve">CC-BY-SA	</v>
      <v xml:space="preserve">http://pt.wikipedia.org/wiki/Bahia	</v>
      <v xml:space="preserve">http://creativecommons.org/licenses/by-sa/3.0/	</v>
    </spb>
    <spb s="11">
      <v>45</v>
      <v>46</v>
      <v>47</v>
      <v>46</v>
      <v>46</v>
      <v>45</v>
      <v>45</v>
      <v>45</v>
      <v>45</v>
    </spb>
    <spb s="0">
      <v xml:space="preserve">Wikipedia	</v>
      <v xml:space="preserve">Public domain	</v>
      <v xml:space="preserve">http://en.wikipedia.org/wiki/Bahia	</v>
      <v xml:space="preserve">http://en.wikipedia.org/wiki/Public_domain	</v>
    </spb>
    <spb s="0">
      <v xml:space="preserve">Wikipedia	Wikipedia	</v>
      <v xml:space="preserve">CC-BY-SA	CC-BY-SA	</v>
      <v xml:space="preserve">http://en.wikipedia.org/wiki/Pernambuco	http://pt.wikipedia.org/wiki/Pernambuco	</v>
      <v xml:space="preserve">http://creativecommons.org/licenses/by-sa/3.0/	http://creativecommons.org/licenses/by-sa/3.0/	</v>
    </spb>
    <spb s="0">
      <v xml:space="preserve">Wikipedia	</v>
      <v xml:space="preserve">CC-BY-SA	</v>
      <v xml:space="preserve">http://en.wikipedia.org/wiki/Pernambuco	</v>
      <v xml:space="preserve">http://creativecommons.org/licenses/by-sa/3.0/	</v>
    </spb>
    <spb s="0">
      <v xml:space="preserve">Wikipedia	</v>
      <v xml:space="preserve">CC-BY-SA	</v>
      <v xml:space="preserve">http://pt.wikipedia.org/wiki/Pernambuco	</v>
      <v xml:space="preserve">http://creativecommons.org/licenses/by-sa/3.0/	</v>
    </spb>
    <spb s="11">
      <v>50</v>
      <v>51</v>
      <v>52</v>
      <v>51</v>
      <v>51</v>
      <v>50</v>
      <v>50</v>
      <v>50</v>
      <v>50</v>
    </spb>
    <spb s="0">
      <v xml:space="preserve">Wikipedia	</v>
      <v xml:space="preserve">Public domain	</v>
      <v xml:space="preserve">http://en.wikipedia.org/wiki/Pernambuco	</v>
      <v xml:space="preserve">http://en.wikipedia.org/wiki/Public_domain	</v>
    </spb>
    <spb s="0">
      <v xml:space="preserve">Wikipedia	Wikipedia	</v>
      <v xml:space="preserve">CC-BY-SA	CC-BY-SA	</v>
      <v xml:space="preserve">http://en.wikipedia.org/wiki/Amazonas_(Brazilian_state)	http://pt.wikipedia.org/wiki/Amazonas	</v>
      <v xml:space="preserve">http://creativecommons.org/licenses/by-sa/3.0/	http://creativecommons.org/licenses/by-sa/3.0/	</v>
    </spb>
    <spb s="0">
      <v xml:space="preserve">Wikipedia	</v>
      <v xml:space="preserve">CC-BY-SA	</v>
      <v xml:space="preserve">http://en.wikipedia.org/wiki/Amazonas_(Brazilian_state)	</v>
      <v xml:space="preserve">http://creativecommons.org/licenses/by-sa/3.0/	</v>
    </spb>
    <spb s="0">
      <v xml:space="preserve">Wikipedia	</v>
      <v xml:space="preserve">CC-BY-SA	</v>
      <v xml:space="preserve">http://pt.wikipedia.org/wiki/Amazonas	</v>
      <v xml:space="preserve">http://creativecommons.org/licenses/by-sa/3.0/	</v>
    </spb>
    <spb s="11">
      <v>55</v>
      <v>56</v>
      <v>57</v>
      <v>56</v>
      <v>56</v>
      <v>55</v>
      <v>55</v>
      <v>55</v>
      <v>55</v>
    </spb>
    <spb s="15">
      <v>Name</v>
      <v>Area</v>
      <v>Description</v>
      <v>Population</v>
      <v>Abbreviation</v>
      <v>UniqueName</v>
      <v>VDPID/VSID</v>
      <v>Country/region</v>
      <v>Largest city</v>
      <v>LearnMoreOnLink</v>
      <v>Capital/Major City</v>
    </spb>
    <spb s="3">
      <v>3</v>
      <v>Name</v>
      <v>LearnMoreOnLink</v>
    </spb>
    <spb s="0">
      <v xml:space="preserve">Wikipedia	Wikipedia	</v>
      <v xml:space="preserve">CC-BY-SA	CC-BY-SA	</v>
      <v xml:space="preserve">http://en.wikipedia.org/wiki/Tocantins	http://pt.wikipedia.org/wiki/Tocantins	</v>
      <v xml:space="preserve">http://creativecommons.org/licenses/by-sa/3.0/	http://creativecommons.org/licenses/by-sa/3.0/	</v>
    </spb>
    <spb s="0">
      <v xml:space="preserve">Wikipedia	</v>
      <v xml:space="preserve">CC-BY-SA	</v>
      <v xml:space="preserve">http://en.wikipedia.org/wiki/Tocantins	</v>
      <v xml:space="preserve">http://creativecommons.org/licenses/by-sa/3.0/	</v>
    </spb>
    <spb s="0">
      <v xml:space="preserve">Wikipedia	</v>
      <v xml:space="preserve">CC-BY-SA	</v>
      <v xml:space="preserve">http://pt.wikipedia.org/wiki/Tocantins	</v>
      <v xml:space="preserve">http://creativecommons.org/licenses/by-sa/3.0/	</v>
    </spb>
    <spb s="11">
      <v>61</v>
      <v>62</v>
      <v>63</v>
      <v>62</v>
      <v>62</v>
      <v>61</v>
      <v>61</v>
      <v>61</v>
      <v>61</v>
    </spb>
    <spb s="0">
      <v xml:space="preserve">Wikipedia	</v>
      <v xml:space="preserve">Public domain	</v>
      <v xml:space="preserve">http://en.wikipedia.org/wiki/Tocantins	</v>
      <v xml:space="preserve">http://en.wikipedia.org/wiki/Public_domain	</v>
    </spb>
    <spb s="0">
      <v xml:space="preserve">Wikipedia	Wikipedia	</v>
      <v xml:space="preserve">CC-BY-SA	CC-BY-SA	</v>
      <v xml:space="preserve">http://pt.wikipedia.org/wiki/Espírito_Santo_(estado)	http://lv.wikipedia.org/wiki/Espiritu_Santu	</v>
      <v xml:space="preserve">http://creativecommons.org/licenses/by-sa/3.0/	http://creativecommons.org/licenses/by-sa/3.0/	</v>
    </spb>
    <spb s="0">
      <v xml:space="preserve">Wikipedia	Wikipedia	</v>
      <v xml:space="preserve">CC-BY-SA	CC-BY-SA	</v>
      <v xml:space="preserve">http://en.wikipedia.org/wiki/Espírito_Santo	http://lv.wikipedia.org/wiki/Espiritu_Santu	</v>
      <v xml:space="preserve">http://creativecommons.org/licenses/by-sa/3.0/	http://creativecommons.org/licenses/by-sa/3.0/	</v>
    </spb>
    <spb s="0">
      <v xml:space="preserve">Wikipedia	</v>
      <v xml:space="preserve">CC-BY-SA	</v>
      <v xml:space="preserve">http://pt.wikipedia.org/wiki/Espírito_Santo_(estado)	</v>
      <v xml:space="preserve">http://creativecommons.org/licenses/by-sa/3.0/	</v>
    </spb>
    <spb s="0">
      <v xml:space="preserve">Wikipedia	</v>
      <v xml:space="preserve">CC-BY-SA	</v>
      <v xml:space="preserve">http://lv.wikipedia.org/wiki/Espiritu_Santu	</v>
      <v xml:space="preserve">http://creativecommons.org/licenses/by-sa/3.0/	</v>
    </spb>
    <spb s="0">
      <v xml:space="preserve">Wikipedia	</v>
      <v xml:space="preserve">CC-BY-SA	</v>
      <v xml:space="preserve">http://en.wikipedia.org/wiki/Espírito_Santo	</v>
      <v xml:space="preserve">http://creativecommons.org/licenses/by-sa/3.0/	</v>
    </spb>
    <spb s="0">
      <v xml:space="preserve">Wikipedia	Wikipedia	Wikipedia	</v>
      <v xml:space="preserve">CC-BY-SA	CC-BY-SA	CC-BY-SA	</v>
      <v xml:space="preserve">http://pt.wikipedia.org/wiki/Espírito_Santo_(estado)	http://en.wikipedia.org/wiki/Espírito_Santo	http://lv.wikipedia.org/wiki/Espiritu_Santu	</v>
      <v xml:space="preserve">http://creativecommons.org/licenses/by-sa/3.0/	http://creativecommons.org/licenses/by-sa/3.0/	http://creativecommons.org/licenses/by-sa/3.0/	</v>
    </spb>
    <spb s="16">
      <v>66</v>
      <v>67</v>
      <v>68</v>
      <v>69</v>
      <v>70</v>
      <v>66</v>
      <v>71</v>
      <v>71</v>
    </spb>
    <spb s="0">
      <v xml:space="preserve">Wikipedia	</v>
      <v xml:space="preserve">Public domain	</v>
      <v xml:space="preserve">http://en.wikipedia.org/wiki/Espírito_Santo	</v>
      <v xml:space="preserve">http://en.wikipedia.org/wiki/Public_domain	</v>
    </spb>
    <spb s="0">
      <v xml:space="preserve">Wikipedia	Wikipedia	</v>
      <v xml:space="preserve">CC-BY-SA	CC-BY-SA	</v>
      <v xml:space="preserve">http://pt.wikipedia.org/wiki/Paraíba	http://lv.wikipedia.org/wiki/Paraiba	</v>
      <v xml:space="preserve">http://creativecommons.org/licenses/by-sa/3.0/	http://creativecommons.org/licenses/by-sa/3.0/	</v>
    </spb>
    <spb s="0">
      <v xml:space="preserve">Wikipedia	</v>
      <v xml:space="preserve">CC-BY-SA	</v>
      <v xml:space="preserve">http://en.wikipedia.org/wiki/Paraíba	</v>
      <v xml:space="preserve">http://creativecommons.org/licenses/by-sa/3.0/	</v>
    </spb>
    <spb s="0">
      <v xml:space="preserve">Wikipedia	</v>
      <v xml:space="preserve">CC-BY-SA	</v>
      <v xml:space="preserve">http://pt.wikipedia.org/wiki/Paraíba	</v>
      <v xml:space="preserve">http://creativecommons.org/licenses/by-sa/3.0/	</v>
    </spb>
    <spb s="0">
      <v xml:space="preserve">Wikipedia	</v>
      <v xml:space="preserve">CC-BY-SA	</v>
      <v xml:space="preserve">http://lv.wikipedia.org/wiki/Paraiba	</v>
      <v xml:space="preserve">http://creativecommons.org/licenses/by-sa/3.0/	</v>
    </spb>
    <spb s="0">
      <v xml:space="preserve">Wikipedia	Wikipedia	Wikipedia	</v>
      <v xml:space="preserve">CC-BY-SA	CC-BY-SA	CC-BY-SA	</v>
      <v xml:space="preserve">http://pt.wikipedia.org/wiki/Paraíba	http://en.wikipedia.org/wiki/Paraíba	http://lv.wikipedia.org/wiki/Paraiba	</v>
      <v xml:space="preserve">http://creativecommons.org/licenses/by-sa/3.0/	http://creativecommons.org/licenses/by-sa/3.0/	http://creativecommons.org/licenses/by-sa/3.0/	</v>
    </spb>
    <spb s="11">
      <v>74</v>
      <v>75</v>
      <v>76</v>
      <v>77</v>
      <v>75</v>
      <v>74</v>
      <v>78</v>
      <v>77</v>
      <v>77</v>
    </spb>
    <spb s="9">
      <v>km quadrado</v>
      <v>2013</v>
    </spb>
    <spb s="0">
      <v xml:space="preserve">Wikipedia	</v>
      <v xml:space="preserve">CC BY-SA 3.0	</v>
      <v xml:space="preserve">http://es.wikipedia.org/wiki/Paraíba	</v>
      <v xml:space="preserve">https://creativecommons.org/licenses/by-sa/3.0	</v>
    </spb>
    <spb s="0">
      <v xml:space="preserve">Wikipedia	Wikipedia	</v>
      <v xml:space="preserve">CC-BY-SA	CC-BY-SA	</v>
      <v xml:space="preserve">http://en.wikipedia.org/wiki/Roraima	http://pt.wikipedia.org/wiki/Roraima	</v>
      <v xml:space="preserve">http://creativecommons.org/licenses/by-sa/3.0/	http://creativecommons.org/licenses/by-sa/3.0/	</v>
    </spb>
    <spb s="0">
      <v xml:space="preserve">Wikipedia	</v>
      <v xml:space="preserve">CC-BY-SA	</v>
      <v xml:space="preserve">http://en.wikipedia.org/wiki/Roraima	</v>
      <v xml:space="preserve">http://creativecommons.org/licenses/by-sa/3.0/	</v>
    </spb>
    <spb s="0">
      <v xml:space="preserve">Wikipedia	</v>
      <v xml:space="preserve">CC-BY-SA	</v>
      <v xml:space="preserve">http://pt.wikipedia.org/wiki/Roraima	</v>
      <v xml:space="preserve">http://creativecommons.org/licenses/by-sa/3.0/	</v>
    </spb>
    <spb s="11">
      <v>82</v>
      <v>83</v>
      <v>84</v>
      <v>83</v>
      <v>83</v>
      <v>82</v>
      <v>82</v>
      <v>82</v>
      <v>82</v>
    </spb>
    <spb s="0">
      <v xml:space="preserve">Wikipedia	</v>
      <v xml:space="preserve">Public domain	</v>
      <v xml:space="preserve">http://en.wikipedia.org/wiki/Roraima	</v>
      <v xml:space="preserve">http://en.wikipedia.org/wiki/Public_domain	</v>
    </spb>
    <spb s="0">
      <v xml:space="preserve">Wikipedia	Wikipedia	</v>
      <v xml:space="preserve">CC-BY-SA	CC-BY-SA	</v>
      <v xml:space="preserve">http://pt.wikipedia.org/wiki/Amapá	http://lv.wikipedia.org/wiki/Amapa	</v>
      <v xml:space="preserve">http://creativecommons.org/licenses/by-sa/3.0/	http://creativecommons.org/licenses/by-sa/3.0/	</v>
    </spb>
    <spb s="0">
      <v xml:space="preserve">Wikipedia	Wikipedia	</v>
      <v xml:space="preserve">CC-BY-SA	CC-BY-SA	</v>
      <v xml:space="preserve">http://en.wikipedia.org/wiki/Amapá	http://lv.wikipedia.org/wiki/Amapa	</v>
      <v xml:space="preserve">http://creativecommons.org/licenses/by-sa/3.0/	http://creativecommons.org/licenses/by-sa/3.0/	</v>
    </spb>
    <spb s="0">
      <v xml:space="preserve">Wikipedia	</v>
      <v xml:space="preserve">CC-BY-SA	</v>
      <v xml:space="preserve">http://pt.wikipedia.org/wiki/Amapá	</v>
      <v xml:space="preserve">http://creativecommons.org/licenses/by-sa/3.0/	</v>
    </spb>
    <spb s="0">
      <v xml:space="preserve">Wikipedia	</v>
      <v xml:space="preserve">CC-BY-SA	</v>
      <v xml:space="preserve">http://lv.wikipedia.org/wiki/Amapa	</v>
      <v xml:space="preserve">http://creativecommons.org/licenses/by-sa/3.0/	</v>
    </spb>
    <spb s="0">
      <v xml:space="preserve">Wikipedia	</v>
      <v xml:space="preserve">CC-BY-SA	</v>
      <v xml:space="preserve">http://en.wikipedia.org/wiki/Amapá	</v>
      <v xml:space="preserve">http://creativecommons.org/licenses/by-sa/3.0/	</v>
    </spb>
    <spb s="0">
      <v xml:space="preserve">Wikipedia	Wikipedia	Wikipedia	</v>
      <v xml:space="preserve">CC-BY-SA	CC-BY-SA	CC-BY-SA	</v>
      <v xml:space="preserve">http://pt.wikipedia.org/wiki/Amapá	http://en.wikipedia.org/wiki/Amapá	http://lv.wikipedia.org/wiki/Amapa	</v>
      <v xml:space="preserve">http://creativecommons.org/licenses/by-sa/3.0/	http://creativecommons.org/licenses/by-sa/3.0/	http://creativecommons.org/licenses/by-sa/3.0/	</v>
    </spb>
    <spb s="11">
      <v>87</v>
      <v>88</v>
      <v>89</v>
      <v>90</v>
      <v>91</v>
      <v>87</v>
      <v>92</v>
      <v>92</v>
      <v>92</v>
    </spb>
    <spb s="0">
      <v xml:space="preserve">Wikipedia	Wikipedia	</v>
      <v xml:space="preserve">CC-BY-SA	CC-BY-SA	</v>
      <v xml:space="preserve">http://pt.wikipedia.org/wiki/Paraná	http://pl.wikipedia.org/wiki/Parana_(stan)	</v>
      <v xml:space="preserve">http://creativecommons.org/licenses/by-sa/3.0/	http://creativecommons.org/licenses/by-sa/3.0/	</v>
    </spb>
    <spb s="0">
      <v xml:space="preserve">Wikipedia	</v>
      <v xml:space="preserve">CC-BY-SA	</v>
      <v xml:space="preserve">http://en.wikipedia.org/wiki/Paraná_(state)	</v>
      <v xml:space="preserve">http://creativecommons.org/licenses/by-sa/3.0/	</v>
    </spb>
    <spb s="0">
      <v xml:space="preserve">Wikipedia	</v>
      <v xml:space="preserve">CC-BY-SA	</v>
      <v xml:space="preserve">http://pt.wikipedia.org/wiki/Paraná	</v>
      <v xml:space="preserve">http://creativecommons.org/licenses/by-sa/3.0/	</v>
    </spb>
    <spb s="0">
      <v xml:space="preserve">Wikipedia	Wikipedia	Wikipedia	</v>
      <v xml:space="preserve">CC-BY-SA	CC-BY-SA	CC-BY-SA	</v>
      <v xml:space="preserve">http://en.wikipedia.org/wiki/Paraná_(state)	http://pt.wikipedia.org/wiki/Paraná	http://pl.wikipedia.org/wiki/Parana_(stan)	</v>
      <v xml:space="preserve">http://creativecommons.org/licenses/by-sa/3.0/	http://creativecommons.org/licenses/by-sa/3.0/	http://creativecommons.org/licenses/by-sa/3.0/	</v>
    </spb>
    <spb s="11">
      <v>94</v>
      <v>95</v>
      <v>96</v>
      <v>95</v>
      <v>95</v>
      <v>94</v>
      <v>97</v>
      <v>97</v>
      <v>97</v>
    </spb>
    <spb s="9">
      <v>km quadrado</v>
      <v>2021</v>
    </spb>
    <spb s="0">
      <v xml:space="preserve">Wikipedia	</v>
      <v xml:space="preserve">CC BY 2.5	</v>
      <v xml:space="preserve">http://tr.wikipedia.org/wiki/Paraná_(eyalet)	</v>
      <v xml:space="preserve">https://creativecommons.org/licenses/by/2.5	</v>
    </spb>
    <spb s="0">
      <v xml:space="preserve">Wikipedia	Wikipedia	</v>
      <v xml:space="preserve">CC-BY-SA	CC-BY-SA	</v>
      <v xml:space="preserve">http://pt.wikipedia.org/wiki/Goiás	http://lv.wikipedia.org/wiki/Gojasa	</v>
      <v xml:space="preserve">http://creativecommons.org/licenses/by-sa/3.0/	http://creativecommons.org/licenses/by-sa/3.0/	</v>
    </spb>
    <spb s="0">
      <v xml:space="preserve">Wikipedia	</v>
      <v xml:space="preserve">CC-BY-SA	</v>
      <v xml:space="preserve">http://en.wikipedia.org/wiki/Goiás	</v>
      <v xml:space="preserve">http://creativecommons.org/licenses/by-sa/3.0/	</v>
    </spb>
    <spb s="0">
      <v xml:space="preserve">Wikipedia	</v>
      <v xml:space="preserve">CC-BY-SA	</v>
      <v xml:space="preserve">http://pt.wikipedia.org/wiki/Goiás	</v>
      <v xml:space="preserve">http://creativecommons.org/licenses/by-sa/3.0/	</v>
    </spb>
    <spb s="0">
      <v xml:space="preserve">Wikipedia	</v>
      <v xml:space="preserve">CC-BY-SA	</v>
      <v xml:space="preserve">http://lv.wikipedia.org/wiki/Gojasa	</v>
      <v xml:space="preserve">http://creativecommons.org/licenses/by-sa/3.0/	</v>
    </spb>
    <spb s="0">
      <v xml:space="preserve">Wikipedia	Wikipedia	Wikipedia	</v>
      <v xml:space="preserve">CC-BY-SA	CC-BY-SA	CC-BY-SA	</v>
      <v xml:space="preserve">http://pt.wikipedia.org/wiki/Goiás	http://en.wikipedia.org/wiki/Goiás	http://lv.wikipedia.org/wiki/Gojasa	</v>
      <v xml:space="preserve">http://creativecommons.org/licenses/by-sa/3.0/	http://creativecommons.org/licenses/by-sa/3.0/	http://creativecommons.org/licenses/by-sa/3.0/	</v>
    </spb>
    <spb s="11">
      <v>101</v>
      <v>102</v>
      <v>103</v>
      <v>104</v>
      <v>102</v>
      <v>101</v>
      <v>105</v>
      <v>105</v>
      <v>105</v>
    </spb>
    <spb s="0">
      <v xml:space="preserve">Wikipedia	</v>
      <v xml:space="preserve">Public domain	</v>
      <v xml:space="preserve">http://en.wikipedia.org/wiki/Goiás	</v>
      <v xml:space="preserve">http://en.wikipedia.org/wiki/Public_domain	</v>
    </spb>
    <spb s="0">
      <v xml:space="preserve">Wikipedia	Wikipedia	</v>
      <v xml:space="preserve">CC-BY-SA	CC-BY-SA	</v>
      <v xml:space="preserve">http://pt.wikipedia.org/wiki/Maranhão	http://lt.wikipedia.org/wiki/Maranjanas	</v>
      <v xml:space="preserve">http://creativecommons.org/licenses/by-sa/3.0/	http://creativecommons.org/licenses/by-sa/3.0/	</v>
    </spb>
    <spb s="0">
      <v xml:space="preserve">Wikipedia	Wikipedia	</v>
      <v xml:space="preserve">CC-BY-SA	CC-BY-SA	</v>
      <v xml:space="preserve">http://en.wikipedia.org/wiki/Maranhão	http://lt.wikipedia.org/wiki/Maranjanas	</v>
      <v xml:space="preserve">http://creativecommons.org/licenses/by-sa/3.0/	http://creativecommons.org/licenses/by-sa/3.0/	</v>
    </spb>
    <spb s="0">
      <v xml:space="preserve">Wikipedia	</v>
      <v xml:space="preserve">CC-BY-SA	</v>
      <v xml:space="preserve">http://pt.wikipedia.org/wiki/Maranhão	</v>
      <v xml:space="preserve">http://creativecommons.org/licenses/by-sa/3.0/	</v>
    </spb>
    <spb s="0">
      <v xml:space="preserve">Wikipedia	</v>
      <v xml:space="preserve">CC-BY-SA	</v>
      <v xml:space="preserve">http://lt.wikipedia.org/wiki/Maranjanas	</v>
      <v xml:space="preserve">http://creativecommons.org/licenses/by-sa/3.0/	</v>
    </spb>
    <spb s="0">
      <v xml:space="preserve">Wikipedia	</v>
      <v xml:space="preserve">CC-BY-SA	</v>
      <v xml:space="preserve">http://en.wikipedia.org/wiki/Maranhão	</v>
      <v xml:space="preserve">http://creativecommons.org/licenses/by-sa/3.0/	</v>
    </spb>
    <spb s="0">
      <v xml:space="preserve">Wikipedia	Wikipedia	Wikipedia	</v>
      <v xml:space="preserve">CC-BY-SA	CC-BY-SA	CC-BY-SA	</v>
      <v xml:space="preserve">http://pt.wikipedia.org/wiki/Maranhão	http://en.wikipedia.org/wiki/Maranhão	http://lt.wikipedia.org/wiki/Maranjanas	</v>
      <v xml:space="preserve">http://creativecommons.org/licenses/by-sa/3.0/	http://creativecommons.org/licenses/by-sa/3.0/	http://creativecommons.org/licenses/by-sa/3.0/	</v>
    </spb>
    <spb s="11">
      <v>108</v>
      <v>109</v>
      <v>110</v>
      <v>111</v>
      <v>112</v>
      <v>108</v>
      <v>113</v>
      <v>113</v>
      <v>113</v>
    </spb>
    <spb s="0">
      <v xml:space="preserve">Wikipedia	</v>
      <v xml:space="preserve">CC BY 2.5	</v>
      <v xml:space="preserve">http://tr.wikipedia.org/wiki/Maranhão	</v>
      <v xml:space="preserve">http://creativecommons.org/licenses/by/2.5	</v>
    </spb>
    <spb s="0">
      <v xml:space="preserve">Wikipedia	Wikipedia	</v>
      <v xml:space="preserve">CC-BY-SA	CC-BY-SA	</v>
      <v xml:space="preserve">http://pt.wikipedia.org/wiki/Ceará	http://lv.wikipedia.org/wiki/Seara	</v>
      <v xml:space="preserve">http://creativecommons.org/licenses/by-sa/3.0/	http://creativecommons.org/licenses/by-sa/3.0/	</v>
    </spb>
    <spb s="0">
      <v xml:space="preserve">Wikipedia	</v>
      <v xml:space="preserve">CC-BY-SA	</v>
      <v xml:space="preserve">http://en.wikipedia.org/wiki/Ceará	</v>
      <v xml:space="preserve">http://creativecommons.org/licenses/by-sa/3.0/	</v>
    </spb>
    <spb s="0">
      <v xml:space="preserve">Wikipedia	</v>
      <v xml:space="preserve">CC-BY-SA	</v>
      <v xml:space="preserve">http://pt.wikipedia.org/wiki/Ceará	</v>
      <v xml:space="preserve">http://creativecommons.org/licenses/by-sa/3.0/	</v>
    </spb>
    <spb s="0">
      <v xml:space="preserve">Wikipedia	</v>
      <v xml:space="preserve">CC-BY-SA	</v>
      <v xml:space="preserve">http://lv.wikipedia.org/wiki/Seara	</v>
      <v xml:space="preserve">http://creativecommons.org/licenses/by-sa/3.0/	</v>
    </spb>
    <spb s="0">
      <v xml:space="preserve">Wikipedia	Wikipedia	Wikipedia	</v>
      <v xml:space="preserve">CC-BY-SA	CC-BY-SA	CC-BY-SA	</v>
      <v xml:space="preserve">http://en.wikipedia.org/wiki/Ceará	http://pt.wikipedia.org/wiki/Ceará	http://lv.wikipedia.org/wiki/Seara	</v>
      <v xml:space="preserve">http://creativecommons.org/licenses/by-sa/3.0/	http://creativecommons.org/licenses/by-sa/3.0/	http://creativecommons.org/licenses/by-sa/3.0/	</v>
    </spb>
    <spb s="11">
      <v>116</v>
      <v>117</v>
      <v>118</v>
      <v>119</v>
      <v>117</v>
      <v>116</v>
      <v>120</v>
      <v>120</v>
      <v>120</v>
    </spb>
    <spb s="0">
      <v xml:space="preserve">Wikipedia	</v>
      <v xml:space="preserve">CC BY-SA 3.0	</v>
      <v xml:space="preserve">http://fr.wikipedia.org/wiki/Ceará	</v>
      <v xml:space="preserve">https://creativecommons.org/licenses/by-sa/3.0	</v>
    </spb>
    <spb s="0">
      <v xml:space="preserve">Wikipedia	Wikipedia	</v>
      <v xml:space="preserve">CC-BY-SA	CC-BY-SA	</v>
      <v xml:space="preserve">http://pt.wikipedia.org/wiki/Pará	http://zh.wikipedia.org/zh-tw/index.html?curid=556979	</v>
      <v xml:space="preserve">http://creativecommons.org/licenses/by-sa/3.0/	http://creativecommons.org/licenses/by-sa/3.0/	</v>
    </spb>
    <spb s="0">
      <v xml:space="preserve">Wikipedia	Wikipedia	</v>
      <v xml:space="preserve">CC-BY-SA	CC-BY-SA	</v>
      <v xml:space="preserve">http://en.wikipedia.org/wiki/Pará	http://zh.wikipedia.org/zh-tw/index.html?curid=556979	</v>
      <v xml:space="preserve">http://creativecommons.org/licenses/by-sa/3.0/	http://creativecommons.org/licenses/by-sa/3.0/	</v>
    </spb>
    <spb s="0">
      <v xml:space="preserve">Wikipedia	</v>
      <v xml:space="preserve">CC-BY-SA	</v>
      <v xml:space="preserve">http://pt.wikipedia.org/wiki/Pará	</v>
      <v xml:space="preserve">http://creativecommons.org/licenses/by-sa/3.0/	</v>
    </spb>
    <spb s="0">
      <v xml:space="preserve">Wikipedia	</v>
      <v xml:space="preserve">CC-BY-SA	</v>
      <v xml:space="preserve">http://zh.wikipedia.org/zh-tw/index.html?curid=556979	</v>
      <v xml:space="preserve">http://creativecommons.org/licenses/by-sa/3.0/	</v>
    </spb>
    <spb s="0">
      <v xml:space="preserve">Wikipedia	</v>
      <v xml:space="preserve">CC-BY-SA	</v>
      <v xml:space="preserve">http://en.wikipedia.org/wiki/Pará	</v>
      <v xml:space="preserve">http://creativecommons.org/licenses/by-sa/3.0/	</v>
    </spb>
    <spb s="0">
      <v xml:space="preserve">Wikipedia	Wikipedia	Wikipedia	</v>
      <v xml:space="preserve">CC-BY-SA	CC-BY-SA	CC-BY-SA	</v>
      <v xml:space="preserve">http://pt.wikipedia.org/wiki/Pará	http://en.wikipedia.org/wiki/Pará	http://zh.wikipedia.org/zh-tw/index.html?curid=556979	</v>
      <v xml:space="preserve">http://creativecommons.org/licenses/by-sa/3.0/	http://creativecommons.org/licenses/by-sa/3.0/	http://creativecommons.org/licenses/by-sa/3.0/	</v>
    </spb>
    <spb s="11">
      <v>123</v>
      <v>124</v>
      <v>125</v>
      <v>126</v>
      <v>127</v>
      <v>123</v>
      <v>128</v>
      <v>128</v>
      <v>128</v>
    </spb>
    <spb s="0">
      <v xml:space="preserve">Wikipedia	Wikipedia	</v>
      <v xml:space="preserve">CC-BY-SA	CC-BY-SA	</v>
      <v xml:space="preserve">http://en.wikipedia.org/wiki/Mato_Grosso	http://pt.wikipedia.org/wiki/Mato_Grosso	</v>
      <v xml:space="preserve">http://creativecommons.org/licenses/by-sa/3.0/	http://creativecommons.org/licenses/by-sa/3.0/	</v>
    </spb>
    <spb s="0">
      <v xml:space="preserve">Wikipedia	Wikipedia	</v>
      <v xml:space="preserve">CC-BY-SA	CC-BY-SA	</v>
      <v xml:space="preserve">http://en.wikipedia.org/wiki/Mato_Grosso	http://es.wikipedia.org/wiki/Mato_Grosso	</v>
      <v xml:space="preserve">http://creativecommons.org/licenses/by-sa/3.0/	http://creativecommons.org/licenses/by-sa/3.0/	</v>
    </spb>
    <spb s="0">
      <v xml:space="preserve">Wikipedia	</v>
      <v xml:space="preserve">CC-BY-SA	</v>
      <v xml:space="preserve">http://pt.wikipedia.org/wiki/Mato_Grosso	</v>
      <v xml:space="preserve">http://creativecommons.org/licenses/by-sa/3.0/	</v>
    </spb>
    <spb s="0">
      <v xml:space="preserve">Wikipedia	</v>
      <v xml:space="preserve">CC-BY-SA	</v>
      <v xml:space="preserve">http://en.wikipedia.org/wiki/Mato_Grosso	</v>
      <v xml:space="preserve">http://creativecommons.org/licenses/by-sa/3.0/	</v>
    </spb>
    <spb s="11">
      <v>130</v>
      <v>131</v>
      <v>132</v>
      <v>133</v>
      <v>133</v>
      <v>130</v>
      <v>130</v>
      <v>130</v>
      <v>130</v>
    </spb>
    <spb s="0">
      <v xml:space="preserve">Wikipedia	Wikipedia	</v>
      <v xml:space="preserve">CC-BY-SA	CC-BY-SA	</v>
      <v xml:space="preserve">http://en.wikipedia.org/wiki/Alagoas	http://pt.wikipedia.org/wiki/Alagoas	</v>
      <v xml:space="preserve">http://creativecommons.org/licenses/by-sa/3.0/	http://creativecommons.org/licenses/by-sa/3.0/	</v>
    </spb>
    <spb s="0">
      <v xml:space="preserve">Wikipedia	</v>
      <v xml:space="preserve">CC-BY-SA	</v>
      <v xml:space="preserve">http://en.wikipedia.org/wiki/Alagoas	</v>
      <v xml:space="preserve">http://creativecommons.org/licenses/by-sa/3.0/	</v>
    </spb>
    <spb s="0">
      <v xml:space="preserve">Wikipedia	</v>
      <v xml:space="preserve">CC-BY-SA	</v>
      <v xml:space="preserve">http://pt.wikipedia.org/wiki/Alagoas	</v>
      <v xml:space="preserve">http://creativecommons.org/licenses/by-sa/3.0/	</v>
    </spb>
    <spb s="11">
      <v>135</v>
      <v>136</v>
      <v>137</v>
      <v>136</v>
      <v>136</v>
      <v>135</v>
      <v>135</v>
      <v>135</v>
      <v>135</v>
    </spb>
    <spb s="0">
      <v xml:space="preserve">Wikipedia	</v>
      <v xml:space="preserve">CC BY-SA 3.0	</v>
      <v xml:space="preserve">http://fr.wikipedia.org/wiki/Alagoas	</v>
      <v xml:space="preserve">https://creativecommons.org/licenses/by-sa/3.0	</v>
    </spb>
    <spb s="0">
      <v xml:space="preserve">Wikipedia	Wikipedia	</v>
      <v xml:space="preserve">CC-BY-SA	CC-BY-SA	</v>
      <v xml:space="preserve">http://en.wikipedia.org/wiki/Sergipe	http://pt.wikipedia.org/wiki/Sergipe	</v>
      <v xml:space="preserve">http://creativecommons.org/licenses/by-sa/3.0/	http://creativecommons.org/licenses/by-sa/3.0/	</v>
    </spb>
    <spb s="0">
      <v xml:space="preserve">Wikipedia	</v>
      <v xml:space="preserve">CC-BY-SA	</v>
      <v xml:space="preserve">http://en.wikipedia.org/wiki/Sergipe	</v>
      <v xml:space="preserve">http://creativecommons.org/licenses/by-sa/3.0/	</v>
    </spb>
    <spb s="0">
      <v xml:space="preserve">Wikipedia	</v>
      <v xml:space="preserve">CC-BY-SA	</v>
      <v xml:space="preserve">http://pt.wikipedia.org/wiki/Sergipe	</v>
      <v xml:space="preserve">http://creativecommons.org/licenses/by-sa/3.0/	</v>
    </spb>
    <spb s="11">
      <v>140</v>
      <v>141</v>
      <v>142</v>
      <v>141</v>
      <v>141</v>
      <v>140</v>
      <v>140</v>
      <v>140</v>
      <v>140</v>
    </spb>
    <spb s="0">
      <v xml:space="preserve">Wikipedia	</v>
      <v xml:space="preserve">Public domain	</v>
      <v xml:space="preserve">http://it.wikipedia.org/wiki/Sergipe	</v>
      <v xml:space="preserve">http://en.wikipedia.org/wiki/Public_domain	</v>
    </spb>
    <spb s="0">
      <v xml:space="preserve">Wikipedia	Wikipedia	</v>
      <v xml:space="preserve">CC-BY-SA	CC-BY-SA	</v>
      <v xml:space="preserve">http://pt.wikipedia.org/wiki/Piauí	http://lv.wikipedia.org/wiki/Pjaui	</v>
      <v xml:space="preserve">http://creativecommons.org/licenses/by-sa/3.0/	http://creativecommons.org/licenses/by-sa/3.0/	</v>
    </spb>
    <spb s="0">
      <v xml:space="preserve">Wikipedia	Wikipedia	</v>
      <v xml:space="preserve">CC-BY-SA	CC-BY-SA	</v>
      <v xml:space="preserve">http://en.wikipedia.org/wiki/Piauí	http://lv.wikipedia.org/wiki/Pjaui	</v>
      <v xml:space="preserve">http://creativecommons.org/licenses/by-sa/3.0/	http://creativecommons.org/licenses/by-sa/3.0/	</v>
    </spb>
    <spb s="0">
      <v xml:space="preserve">Wikipedia	</v>
      <v xml:space="preserve">CC-BY-SA	</v>
      <v xml:space="preserve">http://pt.wikipedia.org/wiki/Piauí	</v>
      <v xml:space="preserve">http://creativecommons.org/licenses/by-sa/3.0/	</v>
    </spb>
    <spb s="0">
      <v xml:space="preserve">Wikipedia	</v>
      <v xml:space="preserve">CC-BY-SA	</v>
      <v xml:space="preserve">http://lv.wikipedia.org/wiki/Pjaui	</v>
      <v xml:space="preserve">http://creativecommons.org/licenses/by-sa/3.0/	</v>
    </spb>
    <spb s="0">
      <v xml:space="preserve">Wikipedia	</v>
      <v xml:space="preserve">CC-BY-SA	</v>
      <v xml:space="preserve">http://en.wikipedia.org/wiki/Piauí	</v>
      <v xml:space="preserve">http://creativecommons.org/licenses/by-sa/3.0/	</v>
    </spb>
    <spb s="0">
      <v xml:space="preserve">Wikipedia	Wikipedia	Wikipedia	</v>
      <v xml:space="preserve">CC-BY-SA	CC-BY-SA	CC-BY-SA	</v>
      <v xml:space="preserve">http://pt.wikipedia.org/wiki/Piauí	http://en.wikipedia.org/wiki/Piauí	http://lv.wikipedia.org/wiki/Pjaui	</v>
      <v xml:space="preserve">http://creativecommons.org/licenses/by-sa/3.0/	http://creativecommons.org/licenses/by-sa/3.0/	http://creativecommons.org/licenses/by-sa/3.0/	</v>
    </spb>
    <spb s="11">
      <v>145</v>
      <v>146</v>
      <v>147</v>
      <v>148</v>
      <v>149</v>
      <v>145</v>
      <v>150</v>
      <v>150</v>
      <v>150</v>
    </spb>
    <spb s="0">
      <v xml:space="preserve">Wikipedia	</v>
      <v xml:space="preserve">Public domain	</v>
      <v xml:space="preserve">http://en.wikipedia.org/wiki/Piauí	</v>
      <v xml:space="preserve">http://en.wikipedia.org/wiki/Public_domain	</v>
    </spb>
    <spb s="0">
      <v xml:space="preserve">Wikipedia	Wikipedia	</v>
      <v xml:space="preserve">CC-BY-SA	CC-BY-SA	</v>
      <v xml:space="preserve">http://en.wikipedia.org/wiki/Minas_Gerais	http://pt.wikipedia.org/wiki/Minas_Gerais	</v>
      <v xml:space="preserve">http://creativecommons.org/licenses/by-sa/3.0/	http://creativecommons.org/licenses/by-sa/3.0/	</v>
    </spb>
    <spb s="0">
      <v xml:space="preserve">Wikipedia	</v>
      <v xml:space="preserve">CC-BY-SA	</v>
      <v xml:space="preserve">http://en.wikipedia.org/wiki/Minas_Gerais	</v>
      <v xml:space="preserve">http://creativecommons.org/licenses/by-sa/3.0/	</v>
    </spb>
    <spb s="0">
      <v xml:space="preserve">Wikipedia	</v>
      <v xml:space="preserve">CC-BY-SA	</v>
      <v xml:space="preserve">http://pt.wikipedia.org/wiki/Minas_Gerais	</v>
      <v xml:space="preserve">http://creativecommons.org/licenses/by-sa/3.0/	</v>
    </spb>
    <spb s="11">
      <v>153</v>
      <v>154</v>
      <v>155</v>
      <v>154</v>
      <v>154</v>
      <v>153</v>
      <v>153</v>
      <v>153</v>
      <v>153</v>
    </spb>
  </spbData>
</supportingPropertyBags>
</file>

<file path=xl/richData/rdsupportingpropertybagstructure.xml><?xml version="1.0" encoding="utf-8"?>
<spbStructures xmlns="http://schemas.microsoft.com/office/spreadsheetml/2017/richdata2" count="17">
  <s>
    <k n="SourceText" t="s"/>
    <k n="LicenseText" t="s"/>
    <k n="SourceAddress" t="s"/>
    <k n="LicenseAddress" t="s"/>
  </s>
  <s>
    <k n="Nome" t="spb"/>
    <k n="`Área" t="spb"/>
    <k n="Descrição" t="spb"/>
    <k n="População" t="spb"/>
    <k n="UniqueName" t="spb"/>
    <k n="País/região" t="spb"/>
    <k n="Divisão administrativa 1 (Estado/província/outro)" t="spb"/>
  </s>
  <s>
    <k n="Nome" t="s"/>
    <k n="Área" t="s"/>
    <k n="Latitude" t="s"/>
    <k n="Descrição" t="s"/>
    <k n="Longitude" t="s"/>
    <k n="População" t="s"/>
    <k n="UniqueName" t="s"/>
    <k n="VDPID/VSID" t="s"/>
    <k n="País/região" t="s"/>
    <k n="LearnMoreOnLink" t="s"/>
    <k n="Divisão administrativa 1 (Estado/província/outro)" t="s"/>
  </s>
  <s>
    <k n="^Order" t="spba"/>
    <k n="TitleProperty" t="s"/>
    <k n="SubTitleProperty" t="s"/>
  </s>
  <s>
    <k n="ShowInDotNotation" t="b"/>
    <k n="ShowInAutoComplete" t="b"/>
  </s>
  <s>
    <k n="ShowInCardView" t="b"/>
    <k n="ShowInDotNotation" t="b"/>
    <k n="ShowInAutoComplete" t="b"/>
  </s>
  <s>
    <k n="Descrição" t="spb"/>
    <k n="UniqueName" t="spb"/>
    <k n="VDPID/VSID" t="spb"/>
    <k n="LearnMoreOnLink" t="spb"/>
  </s>
  <s>
    <k n="Nome" t="i"/>
    <k n="Descrição" t="i"/>
  </s>
  <s>
    <k n="link" t="s"/>
    <k n="logo" t="s"/>
    <k n="name" t="s"/>
  </s>
  <s>
    <k n="`Área" t="s"/>
    <k n="População" t="s"/>
  </s>
  <s>
    <k n="_Self" t="i"/>
  </s>
  <s>
    <k n="Nome" t="spb"/>
    <k n="`Área" t="spb"/>
    <k n="Descrição" t="spb"/>
    <k n="População" t="spb"/>
    <k n="Abreviação" t="spb"/>
    <k n="UniqueName" t="spb"/>
    <k n="País/região" t="spb"/>
    <k n="Maior cidade" t="spb"/>
    <k n="Capital/Maior Cidade" t="spb"/>
  </s>
  <s>
    <k n="Nome" t="s"/>
    <k n="Área" t="s"/>
    <k n="Imagem" t="s"/>
    <k n="Descrição" t="s"/>
    <k n="População" t="s"/>
    <k n="Abreviação" t="s"/>
    <k n="UniqueName" t="s"/>
    <k n="VDPID/VSID" t="s"/>
    <k n="País/região" t="s"/>
    <k n="Maior cidade" t="s"/>
    <k n="LearnMoreOnLink" t="s"/>
    <k n="Capital/Maior Cidade" t="s"/>
  </s>
  <s>
    <k n="Nome" t="i"/>
    <k n="Imagem" t="i"/>
    <k n="Descrição" t="i"/>
  </s>
  <s>
    <k n="Nome" t="s"/>
    <k n="Área" t="s"/>
    <k n="Imagem" t="s"/>
    <k n="Latitude" t="s"/>
    <k n="Descrição" t="s"/>
    <k n="Longitude" t="s"/>
    <k n="População" t="s"/>
    <k n="UniqueName" t="s"/>
    <k n="VDPID/VSID" t="s"/>
    <k n="País/região" t="s"/>
    <k n="LearnMoreOnLink" t="s"/>
    <k n="Divisão administrativa 1 (Estado/província/outro)" t="s"/>
  </s>
  <s>
    <k n="Nome" t="s"/>
    <k n="Área" t="s"/>
    <k n="Descrição" t="s"/>
    <k n="População" t="s"/>
    <k n="Abreviação" t="s"/>
    <k n="UniqueName" t="s"/>
    <k n="VDPID/VSID" t="s"/>
    <k n="País/região" t="s"/>
    <k n="Maior cidade" t="s"/>
    <k n="LearnMoreOnLink" t="s"/>
    <k n="Capital/Maior Cidade" t="s"/>
  </s>
  <s>
    <k n="Nome" t="spb"/>
    <k n="`Área" t="spb"/>
    <k n="Descrição" t="spb"/>
    <k n="População" t="spb"/>
    <k n="Abreviação" t="spb"/>
    <k n="UniqueName" t="spb"/>
    <k n="País/região" t="spb"/>
    <k n="Capital/Maior Cidade" t="spb"/>
  </s>
</spbStructures>
</file>

<file path=xl/richData/richStyles.xml><?xml version="1.0" encoding="utf-8"?>
<richStyleSheet xmlns="http://schemas.microsoft.com/office/spreadsheetml/2017/richdata2" xmlns:mc="http://schemas.openxmlformats.org/markup-compatibility/2006" xmlns:x="http://schemas.openxmlformats.org/spreadsheetml/2006/main" mc:Ignorable="x">
  <dxfs count="2">
    <x:dxf>
      <x:numFmt numFmtId="3" formatCode="#,##0"/>
    </x:dxf>
    <x:dxf>
      <x:numFmt numFmtId="0" formatCode="General"/>
    </x:dxf>
  </dxfs>
  <richProperties>
    <rPr n="IsTitleField" t="b"/>
    <rPr n="RequiresInlineAttribution" t="b"/>
    <rPr n="NumberFormat" t="s"/>
    <rPr n="IsHeroField" t="b"/>
  </richProperties>
  <richStyles>
    <rSty>
      <rpv i="0">1</rpv>
    </rSty>
    <rSty>
      <rpv i="1">1</rpv>
    </rSty>
    <rSty dxfid="0">
      <rpv i="2">#,##0</rpv>
    </rSty>
    <rSty dxfid="1">
      <rpv i="2">0.0000</rpv>
    </rSty>
    <rSty>
      <rpv i="3">1</rpv>
    </rSty>
  </richStyles>
</richStyleSheet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8"/>
  <sheetViews>
    <sheetView zoomScale="120" zoomScaleNormal="120" workbookViewId="0">
      <selection sqref="A1:A1048576"/>
    </sheetView>
  </sheetViews>
  <sheetFormatPr defaultRowHeight="14.4" x14ac:dyDescent="0.3"/>
  <cols>
    <col min="1" max="1" width="14.77734375" style="1" bestFit="1" customWidth="1"/>
    <col min="2" max="2" width="10" style="1" bestFit="1" customWidth="1"/>
    <col min="3" max="3" width="10.88671875" style="1" bestFit="1" customWidth="1"/>
    <col min="4" max="4" width="13.33203125" style="1" bestFit="1" customWidth="1"/>
    <col min="5" max="5" width="11.5546875" style="21" bestFit="1" customWidth="1"/>
    <col min="6" max="6" width="13.88671875" style="1" bestFit="1" customWidth="1"/>
    <col min="7" max="16384" width="8.88671875" style="1"/>
  </cols>
  <sheetData>
    <row r="1" spans="1:6" x14ac:dyDescent="0.3">
      <c r="A1" s="1" t="s">
        <v>34</v>
      </c>
      <c r="B1" s="3" t="s">
        <v>0</v>
      </c>
      <c r="C1" s="2" t="s">
        <v>1</v>
      </c>
      <c r="D1" s="1" t="s">
        <v>2</v>
      </c>
      <c r="E1" s="5" t="s">
        <v>3</v>
      </c>
      <c r="F1" s="1" t="s">
        <v>4</v>
      </c>
    </row>
    <row r="2" spans="1:6" x14ac:dyDescent="0.3">
      <c r="A2" s="1" t="s">
        <v>35</v>
      </c>
      <c r="B2" s="3">
        <v>236715</v>
      </c>
      <c r="C2" s="2">
        <v>26753</v>
      </c>
      <c r="D2" s="1" t="s">
        <v>28</v>
      </c>
      <c r="E2" s="5">
        <v>4400</v>
      </c>
      <c r="F2" s="1" t="s">
        <v>6</v>
      </c>
    </row>
    <row r="3" spans="1:6" x14ac:dyDescent="0.3">
      <c r="A3" s="1" t="s">
        <v>36</v>
      </c>
      <c r="B3" s="3">
        <v>123456</v>
      </c>
      <c r="C3" s="2">
        <v>33924</v>
      </c>
      <c r="D3" s="1" t="s">
        <v>29</v>
      </c>
      <c r="E3" s="5">
        <v>4800</v>
      </c>
      <c r="F3" s="1" t="s">
        <v>6</v>
      </c>
    </row>
    <row r="4" spans="1:6" x14ac:dyDescent="0.3">
      <c r="A4" s="1" t="s">
        <v>37</v>
      </c>
      <c r="B4" s="3">
        <v>809213</v>
      </c>
      <c r="C4" s="2">
        <v>35295</v>
      </c>
      <c r="D4" s="1" t="s">
        <v>27</v>
      </c>
      <c r="E4" s="5">
        <v>14500</v>
      </c>
      <c r="F4" s="1" t="s">
        <v>7</v>
      </c>
    </row>
    <row r="5" spans="1:6" x14ac:dyDescent="0.3">
      <c r="A5" s="1" t="s">
        <v>38</v>
      </c>
      <c r="B5" s="3">
        <v>108251</v>
      </c>
      <c r="C5" s="2">
        <v>36629</v>
      </c>
      <c r="D5" s="1" t="s">
        <v>27</v>
      </c>
      <c r="E5" s="5">
        <v>6000</v>
      </c>
      <c r="F5" s="1" t="s">
        <v>8</v>
      </c>
    </row>
    <row r="6" spans="1:6" x14ac:dyDescent="0.3">
      <c r="A6" s="1" t="s">
        <v>39</v>
      </c>
      <c r="B6" s="3">
        <v>904603</v>
      </c>
      <c r="C6" s="2">
        <v>31822</v>
      </c>
      <c r="D6" s="1" t="s">
        <v>29</v>
      </c>
      <c r="E6" s="5">
        <v>8500</v>
      </c>
      <c r="F6" s="1" t="s">
        <v>6</v>
      </c>
    </row>
    <row r="7" spans="1:6" x14ac:dyDescent="0.3">
      <c r="A7" s="1" t="s">
        <v>40</v>
      </c>
      <c r="B7" s="3">
        <v>654321</v>
      </c>
      <c r="C7" s="2">
        <v>30702</v>
      </c>
      <c r="D7" s="1" t="s">
        <v>30</v>
      </c>
      <c r="E7" s="5">
        <v>6400</v>
      </c>
      <c r="F7" s="1" t="s">
        <v>9</v>
      </c>
    </row>
    <row r="8" spans="1:6" x14ac:dyDescent="0.3">
      <c r="A8" s="1" t="s">
        <v>41</v>
      </c>
      <c r="B8" s="3">
        <v>924115</v>
      </c>
      <c r="C8" s="2">
        <v>31348</v>
      </c>
      <c r="D8" s="1" t="s">
        <v>28</v>
      </c>
      <c r="E8" s="5">
        <v>6200</v>
      </c>
      <c r="F8" s="1" t="s">
        <v>10</v>
      </c>
    </row>
    <row r="9" spans="1:6" x14ac:dyDescent="0.3">
      <c r="A9" s="1" t="s">
        <v>42</v>
      </c>
      <c r="B9" s="3">
        <v>331803</v>
      </c>
      <c r="C9" s="2">
        <v>27877</v>
      </c>
      <c r="D9" s="1" t="s">
        <v>29</v>
      </c>
      <c r="E9" s="5">
        <v>5200</v>
      </c>
      <c r="F9" s="1" t="s">
        <v>11</v>
      </c>
    </row>
    <row r="10" spans="1:6" x14ac:dyDescent="0.3">
      <c r="A10" s="1" t="s">
        <v>43</v>
      </c>
      <c r="B10" s="3">
        <v>132516</v>
      </c>
      <c r="C10" s="2">
        <v>27579</v>
      </c>
      <c r="D10" s="1" t="s">
        <v>30</v>
      </c>
      <c r="E10" s="5">
        <v>11300</v>
      </c>
      <c r="F10" s="1" t="s">
        <v>12</v>
      </c>
    </row>
    <row r="11" spans="1:6" x14ac:dyDescent="0.3">
      <c r="A11" s="1" t="s">
        <v>44</v>
      </c>
      <c r="B11" s="3">
        <v>546209</v>
      </c>
      <c r="C11" s="2">
        <v>30514</v>
      </c>
      <c r="D11" s="1" t="s">
        <v>31</v>
      </c>
      <c r="E11" s="5">
        <v>14900</v>
      </c>
      <c r="F11" s="1" t="s">
        <v>6</v>
      </c>
    </row>
    <row r="12" spans="1:6" x14ac:dyDescent="0.3">
      <c r="A12" s="1" t="s">
        <v>45</v>
      </c>
      <c r="B12" s="3">
        <v>837859</v>
      </c>
      <c r="C12" s="2">
        <v>35331</v>
      </c>
      <c r="D12" s="1" t="s">
        <v>27</v>
      </c>
      <c r="E12" s="5">
        <v>11800</v>
      </c>
      <c r="F12" s="1" t="s">
        <v>13</v>
      </c>
    </row>
    <row r="13" spans="1:6" x14ac:dyDescent="0.3">
      <c r="A13" s="1" t="s">
        <v>46</v>
      </c>
      <c r="B13" s="3">
        <v>706517</v>
      </c>
      <c r="C13" s="2">
        <v>26809</v>
      </c>
      <c r="D13" s="1" t="s">
        <v>30</v>
      </c>
      <c r="E13" s="5">
        <v>11200</v>
      </c>
      <c r="F13" s="1" t="s">
        <v>5</v>
      </c>
    </row>
    <row r="14" spans="1:6" x14ac:dyDescent="0.3">
      <c r="A14" s="1" t="s">
        <v>47</v>
      </c>
      <c r="B14" s="3">
        <v>448932</v>
      </c>
      <c r="C14" s="2">
        <v>34917</v>
      </c>
      <c r="D14" s="1" t="s">
        <v>32</v>
      </c>
      <c r="E14" s="5">
        <v>8300</v>
      </c>
      <c r="F14" s="1" t="s">
        <v>14</v>
      </c>
    </row>
    <row r="15" spans="1:6" x14ac:dyDescent="0.3">
      <c r="A15" s="1" t="s">
        <v>48</v>
      </c>
      <c r="B15" s="3">
        <v>256741</v>
      </c>
      <c r="C15" s="2">
        <v>25593</v>
      </c>
      <c r="D15" s="1" t="s">
        <v>32</v>
      </c>
      <c r="E15" s="5">
        <v>13100</v>
      </c>
      <c r="F15" s="1" t="s">
        <v>15</v>
      </c>
    </row>
    <row r="16" spans="1:6" x14ac:dyDescent="0.3">
      <c r="A16" s="1" t="s">
        <v>49</v>
      </c>
      <c r="B16" s="3">
        <v>807613</v>
      </c>
      <c r="C16" s="2">
        <v>26445</v>
      </c>
      <c r="D16" s="1" t="s">
        <v>30</v>
      </c>
      <c r="E16" s="5">
        <v>10400</v>
      </c>
      <c r="F16" s="1" t="s">
        <v>5</v>
      </c>
    </row>
    <row r="17" spans="1:6" x14ac:dyDescent="0.3">
      <c r="A17" s="1" t="s">
        <v>50</v>
      </c>
      <c r="B17" s="3">
        <v>158744</v>
      </c>
      <c r="C17" s="2">
        <v>25519</v>
      </c>
      <c r="D17" s="1" t="s">
        <v>28</v>
      </c>
      <c r="E17" s="5">
        <v>9300</v>
      </c>
      <c r="F17" s="1" t="s">
        <v>16</v>
      </c>
    </row>
    <row r="18" spans="1:6" x14ac:dyDescent="0.3">
      <c r="A18" s="1" t="s">
        <v>51</v>
      </c>
      <c r="B18" s="3">
        <v>915827</v>
      </c>
      <c r="C18" s="2">
        <v>32357</v>
      </c>
      <c r="D18" s="1" t="s">
        <v>28</v>
      </c>
      <c r="E18" s="5">
        <v>11700</v>
      </c>
      <c r="F18" s="1" t="s">
        <v>17</v>
      </c>
    </row>
    <row r="19" spans="1:6" x14ac:dyDescent="0.3">
      <c r="A19" s="1" t="s">
        <v>52</v>
      </c>
      <c r="B19" s="3">
        <v>458448</v>
      </c>
      <c r="C19" s="2">
        <v>28561</v>
      </c>
      <c r="D19" s="1" t="s">
        <v>27</v>
      </c>
      <c r="E19" s="5">
        <v>9300</v>
      </c>
      <c r="F19" s="1" t="s">
        <v>18</v>
      </c>
    </row>
    <row r="20" spans="1:6" x14ac:dyDescent="0.3">
      <c r="A20" s="1" t="s">
        <v>53</v>
      </c>
      <c r="B20" s="3">
        <v>156934</v>
      </c>
      <c r="C20" s="2">
        <v>32416</v>
      </c>
      <c r="D20" s="1" t="s">
        <v>27</v>
      </c>
      <c r="E20" s="5">
        <v>10900</v>
      </c>
      <c r="F20" s="1" t="s">
        <v>19</v>
      </c>
    </row>
    <row r="21" spans="1:6" x14ac:dyDescent="0.3">
      <c r="A21" s="1" t="s">
        <v>54</v>
      </c>
      <c r="B21" s="3">
        <v>201549</v>
      </c>
      <c r="C21" s="2">
        <v>28292</v>
      </c>
      <c r="D21" s="1" t="s">
        <v>31</v>
      </c>
      <c r="E21" s="5">
        <v>7100</v>
      </c>
      <c r="F21" s="1" t="s">
        <v>9</v>
      </c>
    </row>
    <row r="22" spans="1:6" x14ac:dyDescent="0.3">
      <c r="A22" s="1" t="s">
        <v>55</v>
      </c>
      <c r="B22" s="3">
        <v>852204</v>
      </c>
      <c r="C22" s="2">
        <v>29769</v>
      </c>
      <c r="D22" s="1" t="s">
        <v>31</v>
      </c>
      <c r="E22" s="5">
        <v>4300</v>
      </c>
      <c r="F22" s="1" t="s">
        <v>6</v>
      </c>
    </row>
    <row r="23" spans="1:6" x14ac:dyDescent="0.3">
      <c r="A23" s="1" t="s">
        <v>56</v>
      </c>
      <c r="B23" s="3">
        <v>414836</v>
      </c>
      <c r="C23" s="2">
        <v>27848</v>
      </c>
      <c r="D23" s="1" t="s">
        <v>30</v>
      </c>
      <c r="E23" s="5">
        <v>3700</v>
      </c>
      <c r="F23" s="1" t="s">
        <v>7</v>
      </c>
    </row>
    <row r="24" spans="1:6" x14ac:dyDescent="0.3">
      <c r="A24" s="1" t="s">
        <v>57</v>
      </c>
      <c r="B24" s="3">
        <v>341846</v>
      </c>
      <c r="C24" s="2">
        <v>31810</v>
      </c>
      <c r="D24" s="1" t="s">
        <v>31</v>
      </c>
      <c r="E24" s="5">
        <v>5700</v>
      </c>
      <c r="F24" s="1" t="s">
        <v>20</v>
      </c>
    </row>
    <row r="25" spans="1:6" x14ac:dyDescent="0.3">
      <c r="A25" s="1" t="s">
        <v>58</v>
      </c>
      <c r="B25" s="3">
        <v>147632</v>
      </c>
      <c r="C25" s="2">
        <v>30187</v>
      </c>
      <c r="D25" s="1" t="s">
        <v>30</v>
      </c>
      <c r="E25" s="5">
        <v>8300</v>
      </c>
      <c r="F25" s="1" t="s">
        <v>21</v>
      </c>
    </row>
    <row r="26" spans="1:6" x14ac:dyDescent="0.3">
      <c r="A26" s="1" t="s">
        <v>59</v>
      </c>
      <c r="B26" s="3">
        <v>652941</v>
      </c>
      <c r="C26" s="2">
        <v>35984</v>
      </c>
      <c r="D26" s="1" t="s">
        <v>29</v>
      </c>
      <c r="E26" s="5">
        <v>9300</v>
      </c>
      <c r="F26" s="1" t="s">
        <v>18</v>
      </c>
    </row>
    <row r="27" spans="1:6" x14ac:dyDescent="0.3">
      <c r="A27" s="1" t="s">
        <v>60</v>
      </c>
      <c r="B27" s="3">
        <v>444733</v>
      </c>
      <c r="C27" s="2">
        <v>28689</v>
      </c>
      <c r="D27" s="1" t="s">
        <v>29</v>
      </c>
      <c r="E27" s="5">
        <v>9200</v>
      </c>
      <c r="F27" s="1" t="s">
        <v>22</v>
      </c>
    </row>
    <row r="28" spans="1:6" x14ac:dyDescent="0.3">
      <c r="A28" s="1" t="s">
        <v>61</v>
      </c>
      <c r="B28" s="3">
        <v>842823</v>
      </c>
      <c r="C28" s="2">
        <v>35335</v>
      </c>
      <c r="D28" s="1" t="s">
        <v>32</v>
      </c>
      <c r="E28" s="5">
        <v>8100</v>
      </c>
      <c r="F28" s="1" t="s">
        <v>23</v>
      </c>
    </row>
    <row r="29" spans="1:6" x14ac:dyDescent="0.3">
      <c r="A29" s="1" t="s">
        <v>62</v>
      </c>
      <c r="B29" s="3">
        <v>842225</v>
      </c>
      <c r="C29" s="2">
        <v>35815</v>
      </c>
      <c r="D29" s="1" t="s">
        <v>29</v>
      </c>
      <c r="E29" s="5">
        <v>7000</v>
      </c>
      <c r="F29" s="1" t="s">
        <v>21</v>
      </c>
    </row>
    <row r="30" spans="1:6" x14ac:dyDescent="0.3">
      <c r="A30" s="1" t="s">
        <v>63</v>
      </c>
      <c r="B30" s="3">
        <v>953425</v>
      </c>
      <c r="C30" s="2">
        <v>36690</v>
      </c>
      <c r="D30" s="1" t="s">
        <v>29</v>
      </c>
      <c r="E30" s="5">
        <v>9700</v>
      </c>
      <c r="F30" s="1" t="s">
        <v>6</v>
      </c>
    </row>
    <row r="31" spans="1:6" x14ac:dyDescent="0.3">
      <c r="A31" s="1" t="s">
        <v>64</v>
      </c>
      <c r="B31" s="3">
        <v>416421</v>
      </c>
      <c r="C31" s="2">
        <v>25119</v>
      </c>
      <c r="D31" s="1" t="s">
        <v>27</v>
      </c>
      <c r="E31" s="5">
        <v>5400</v>
      </c>
      <c r="F31" s="1" t="s">
        <v>5</v>
      </c>
    </row>
    <row r="32" spans="1:6" x14ac:dyDescent="0.3">
      <c r="A32" s="1" t="s">
        <v>65</v>
      </c>
      <c r="B32" s="3">
        <v>622521</v>
      </c>
      <c r="C32" s="2">
        <v>30022</v>
      </c>
      <c r="D32" s="1" t="s">
        <v>31</v>
      </c>
      <c r="E32" s="5">
        <v>6200</v>
      </c>
      <c r="F32" s="1" t="s">
        <v>14</v>
      </c>
    </row>
    <row r="33" spans="1:6" x14ac:dyDescent="0.3">
      <c r="A33" s="1" t="s">
        <v>66</v>
      </c>
      <c r="B33" s="3">
        <v>347738</v>
      </c>
      <c r="C33" s="2">
        <v>28156</v>
      </c>
      <c r="D33" s="1" t="s">
        <v>33</v>
      </c>
      <c r="E33" s="5">
        <v>6800</v>
      </c>
      <c r="F33" s="1" t="s">
        <v>24</v>
      </c>
    </row>
    <row r="34" spans="1:6" x14ac:dyDescent="0.3">
      <c r="A34" s="1" t="s">
        <v>67</v>
      </c>
      <c r="B34" s="3">
        <v>705651</v>
      </c>
      <c r="C34" s="2">
        <v>25158</v>
      </c>
      <c r="D34" s="1" t="s">
        <v>27</v>
      </c>
      <c r="E34" s="5">
        <v>11800</v>
      </c>
      <c r="F34" s="1" t="s">
        <v>24</v>
      </c>
    </row>
    <row r="35" spans="1:6" x14ac:dyDescent="0.3">
      <c r="A35" s="1" t="s">
        <v>68</v>
      </c>
      <c r="B35" s="3">
        <v>223809</v>
      </c>
      <c r="C35" s="2">
        <v>27852</v>
      </c>
      <c r="D35" s="1" t="s">
        <v>32</v>
      </c>
      <c r="E35" s="5">
        <v>4100</v>
      </c>
      <c r="F35" s="1" t="s">
        <v>16</v>
      </c>
    </row>
    <row r="36" spans="1:6" x14ac:dyDescent="0.3">
      <c r="A36" s="1" t="s">
        <v>69</v>
      </c>
      <c r="B36" s="3">
        <v>526714</v>
      </c>
      <c r="C36" s="2">
        <v>35962</v>
      </c>
      <c r="D36" s="1" t="s">
        <v>29</v>
      </c>
      <c r="E36" s="5">
        <v>11200</v>
      </c>
      <c r="F36" s="1" t="s">
        <v>16</v>
      </c>
    </row>
    <row r="37" spans="1:6" x14ac:dyDescent="0.3">
      <c r="A37" s="1" t="s">
        <v>70</v>
      </c>
      <c r="B37" s="3">
        <v>202137</v>
      </c>
      <c r="C37" s="2">
        <v>29198</v>
      </c>
      <c r="D37" s="1" t="s">
        <v>29</v>
      </c>
      <c r="E37" s="5">
        <v>13500</v>
      </c>
      <c r="F37" s="1" t="s">
        <v>5</v>
      </c>
    </row>
    <row r="38" spans="1:6" x14ac:dyDescent="0.3">
      <c r="A38" s="1" t="s">
        <v>71</v>
      </c>
      <c r="B38" s="3">
        <v>621421</v>
      </c>
      <c r="C38" s="2">
        <v>34262</v>
      </c>
      <c r="D38" s="1" t="s">
        <v>31</v>
      </c>
      <c r="E38" s="5">
        <v>12800</v>
      </c>
      <c r="F38" s="1" t="s">
        <v>7</v>
      </c>
    </row>
    <row r="39" spans="1:6" x14ac:dyDescent="0.3">
      <c r="A39" s="1" t="s">
        <v>72</v>
      </c>
      <c r="B39" s="3">
        <v>632433</v>
      </c>
      <c r="C39" s="2">
        <v>28529</v>
      </c>
      <c r="D39" s="1" t="s">
        <v>31</v>
      </c>
      <c r="E39" s="5">
        <v>3800</v>
      </c>
      <c r="F39" s="1" t="s">
        <v>25</v>
      </c>
    </row>
    <row r="40" spans="1:6" x14ac:dyDescent="0.3">
      <c r="A40" s="1" t="s">
        <v>73</v>
      </c>
      <c r="B40" s="3">
        <v>915741</v>
      </c>
      <c r="C40" s="2">
        <v>28571</v>
      </c>
      <c r="D40" s="1" t="s">
        <v>27</v>
      </c>
      <c r="E40" s="5">
        <v>12000</v>
      </c>
      <c r="F40" s="1" t="s">
        <v>5</v>
      </c>
    </row>
    <row r="41" spans="1:6" x14ac:dyDescent="0.3">
      <c r="A41" s="1" t="s">
        <v>74</v>
      </c>
      <c r="B41" s="3">
        <v>122141</v>
      </c>
      <c r="C41" s="2">
        <v>32378</v>
      </c>
      <c r="D41" s="1" t="s">
        <v>27</v>
      </c>
      <c r="E41" s="5">
        <v>11500</v>
      </c>
      <c r="F41" s="1" t="s">
        <v>6</v>
      </c>
    </row>
    <row r="42" spans="1:6" x14ac:dyDescent="0.3">
      <c r="A42" s="1" t="s">
        <v>75</v>
      </c>
      <c r="B42" s="3">
        <v>854624</v>
      </c>
      <c r="C42" s="2">
        <v>25884</v>
      </c>
      <c r="D42" s="1" t="s">
        <v>27</v>
      </c>
      <c r="E42" s="5">
        <v>5700</v>
      </c>
      <c r="F42" s="1" t="s">
        <v>25</v>
      </c>
    </row>
    <row r="43" spans="1:6" x14ac:dyDescent="0.3">
      <c r="A43" s="1" t="s">
        <v>76</v>
      </c>
      <c r="B43" s="3">
        <v>228743</v>
      </c>
      <c r="C43" s="2">
        <v>32776</v>
      </c>
      <c r="D43" s="1" t="s">
        <v>30</v>
      </c>
      <c r="E43" s="5">
        <v>4300</v>
      </c>
      <c r="F43" s="1" t="s">
        <v>12</v>
      </c>
    </row>
    <row r="44" spans="1:6" x14ac:dyDescent="0.3">
      <c r="A44" s="1" t="s">
        <v>77</v>
      </c>
      <c r="B44" s="3">
        <v>139404</v>
      </c>
      <c r="C44" s="2">
        <v>33048</v>
      </c>
      <c r="D44" s="1" t="s">
        <v>30</v>
      </c>
      <c r="E44" s="5">
        <v>8300</v>
      </c>
      <c r="F44" s="1" t="s">
        <v>11</v>
      </c>
    </row>
    <row r="45" spans="1:6" x14ac:dyDescent="0.3">
      <c r="A45" s="1" t="s">
        <v>78</v>
      </c>
      <c r="B45" s="3">
        <v>913853</v>
      </c>
      <c r="C45" s="2">
        <v>33234</v>
      </c>
      <c r="D45" s="1" t="s">
        <v>27</v>
      </c>
      <c r="E45" s="5">
        <v>9400</v>
      </c>
      <c r="F45" s="1" t="s">
        <v>6</v>
      </c>
    </row>
    <row r="46" spans="1:6" x14ac:dyDescent="0.3">
      <c r="A46" s="1" t="s">
        <v>79</v>
      </c>
      <c r="B46" s="3">
        <v>429239</v>
      </c>
      <c r="C46" s="2">
        <v>36216</v>
      </c>
      <c r="D46" s="1" t="s">
        <v>32</v>
      </c>
      <c r="E46" s="5">
        <v>14900</v>
      </c>
      <c r="F46" s="1" t="s">
        <v>13</v>
      </c>
    </row>
    <row r="47" spans="1:6" x14ac:dyDescent="0.3">
      <c r="A47" s="1" t="s">
        <v>80</v>
      </c>
      <c r="B47" s="3">
        <v>904945</v>
      </c>
      <c r="C47" s="2">
        <v>30553</v>
      </c>
      <c r="D47" s="1" t="s">
        <v>29</v>
      </c>
      <c r="E47" s="5">
        <v>5000</v>
      </c>
      <c r="F47" s="1" t="s">
        <v>26</v>
      </c>
    </row>
    <row r="48" spans="1:6" x14ac:dyDescent="0.3">
      <c r="A48" s="1" t="s">
        <v>81</v>
      </c>
      <c r="B48" s="3">
        <v>139606</v>
      </c>
      <c r="C48" s="2">
        <v>32852</v>
      </c>
      <c r="D48" s="1" t="s">
        <v>31</v>
      </c>
      <c r="E48" s="5">
        <v>12500</v>
      </c>
      <c r="F48" s="1" t="s">
        <v>6</v>
      </c>
    </row>
    <row r="49" spans="1:6" x14ac:dyDescent="0.3">
      <c r="A49" s="1" t="s">
        <v>82</v>
      </c>
      <c r="B49" s="3">
        <v>144311</v>
      </c>
      <c r="C49" s="2">
        <v>30002</v>
      </c>
      <c r="D49" s="1" t="s">
        <v>31</v>
      </c>
      <c r="E49" s="5">
        <v>11700</v>
      </c>
      <c r="F49" s="1" t="s">
        <v>5</v>
      </c>
    </row>
    <row r="50" spans="1:6" x14ac:dyDescent="0.3">
      <c r="A50" s="1" t="s">
        <v>83</v>
      </c>
      <c r="B50" s="3">
        <v>237645</v>
      </c>
      <c r="C50" s="2">
        <v>28510</v>
      </c>
      <c r="D50" s="1" t="s">
        <v>29</v>
      </c>
      <c r="E50" s="5">
        <v>11000</v>
      </c>
      <c r="F50" s="1" t="s">
        <v>18</v>
      </c>
    </row>
    <row r="51" spans="1:6" x14ac:dyDescent="0.3">
      <c r="A51" s="1" t="s">
        <v>84</v>
      </c>
      <c r="B51" s="3">
        <v>342109</v>
      </c>
      <c r="C51" s="2">
        <v>31857</v>
      </c>
      <c r="D51" s="1" t="s">
        <v>27</v>
      </c>
      <c r="E51" s="5">
        <v>5200</v>
      </c>
      <c r="F51" s="1" t="s">
        <v>22</v>
      </c>
    </row>
    <row r="52" spans="1:6" x14ac:dyDescent="0.3">
      <c r="A52" s="1" t="s">
        <v>85</v>
      </c>
      <c r="B52" s="3">
        <v>653908</v>
      </c>
      <c r="C52" s="2">
        <v>35956</v>
      </c>
      <c r="D52" s="1" t="s">
        <v>27</v>
      </c>
      <c r="E52" s="5">
        <v>14400</v>
      </c>
      <c r="F52" s="1" t="s">
        <v>24</v>
      </c>
    </row>
    <row r="53" spans="1:6" x14ac:dyDescent="0.3">
      <c r="A53" s="1" t="s">
        <v>86</v>
      </c>
      <c r="B53" s="3">
        <v>453149</v>
      </c>
      <c r="C53" s="2">
        <v>35550</v>
      </c>
      <c r="D53" s="1" t="s">
        <v>32</v>
      </c>
      <c r="E53" s="5">
        <v>5000</v>
      </c>
      <c r="F53" s="1" t="s">
        <v>23</v>
      </c>
    </row>
    <row r="54" spans="1:6" x14ac:dyDescent="0.3">
      <c r="A54" s="1" t="s">
        <v>87</v>
      </c>
      <c r="B54" s="3">
        <v>939824</v>
      </c>
      <c r="C54" s="2">
        <v>29167</v>
      </c>
      <c r="D54" s="1" t="s">
        <v>28</v>
      </c>
      <c r="E54" s="5">
        <v>13600</v>
      </c>
      <c r="F54" s="1" t="s">
        <v>6</v>
      </c>
    </row>
    <row r="55" spans="1:6" x14ac:dyDescent="0.3">
      <c r="A55" s="1" t="s">
        <v>88</v>
      </c>
      <c r="B55" s="3">
        <v>858413</v>
      </c>
      <c r="C55" s="2">
        <v>27409</v>
      </c>
      <c r="D55" s="1" t="s">
        <v>30</v>
      </c>
      <c r="E55" s="5">
        <v>9400</v>
      </c>
      <c r="F55" s="1" t="s">
        <v>12</v>
      </c>
    </row>
    <row r="56" spans="1:6" x14ac:dyDescent="0.3">
      <c r="A56" s="1" t="s">
        <v>89</v>
      </c>
      <c r="B56" s="3">
        <v>533955</v>
      </c>
      <c r="C56" s="2">
        <v>30261</v>
      </c>
      <c r="D56" s="1" t="s">
        <v>33</v>
      </c>
      <c r="E56" s="5">
        <v>10000</v>
      </c>
      <c r="F56" s="1" t="s">
        <v>10</v>
      </c>
    </row>
    <row r="57" spans="1:6" x14ac:dyDescent="0.3">
      <c r="A57" s="1" t="s">
        <v>90</v>
      </c>
      <c r="B57" s="3">
        <v>815434</v>
      </c>
      <c r="C57" s="2">
        <v>31836</v>
      </c>
      <c r="D57" s="1" t="s">
        <v>29</v>
      </c>
      <c r="E57" s="5">
        <v>9600</v>
      </c>
      <c r="F57" s="1" t="s">
        <v>25</v>
      </c>
    </row>
    <row r="58" spans="1:6" x14ac:dyDescent="0.3">
      <c r="A58" s="1" t="s">
        <v>91</v>
      </c>
      <c r="B58" s="3">
        <v>724401</v>
      </c>
      <c r="C58" s="2">
        <v>34712</v>
      </c>
      <c r="D58" s="1" t="s">
        <v>30</v>
      </c>
      <c r="E58" s="5">
        <v>7000</v>
      </c>
      <c r="F58" s="1" t="s">
        <v>19</v>
      </c>
    </row>
    <row r="59" spans="1:6" x14ac:dyDescent="0.3">
      <c r="A59" s="1" t="s">
        <v>92</v>
      </c>
      <c r="B59" s="3">
        <v>255134</v>
      </c>
      <c r="C59" s="2">
        <v>28120</v>
      </c>
      <c r="D59" s="1" t="s">
        <v>31</v>
      </c>
      <c r="E59" s="5">
        <v>4000</v>
      </c>
      <c r="F59" s="1" t="s">
        <v>20</v>
      </c>
    </row>
    <row r="60" spans="1:6" x14ac:dyDescent="0.3">
      <c r="A60" s="1" t="s">
        <v>93</v>
      </c>
      <c r="B60" s="3">
        <v>903948</v>
      </c>
      <c r="C60" s="2">
        <v>25672</v>
      </c>
      <c r="D60" s="1" t="s">
        <v>28</v>
      </c>
      <c r="E60" s="5">
        <v>9500</v>
      </c>
      <c r="F60" s="1" t="s">
        <v>26</v>
      </c>
    </row>
    <row r="61" spans="1:6" x14ac:dyDescent="0.3">
      <c r="A61" s="1" t="s">
        <v>94</v>
      </c>
      <c r="B61" s="3">
        <v>843736</v>
      </c>
      <c r="C61" s="2">
        <v>32925</v>
      </c>
      <c r="D61" s="1" t="s">
        <v>31</v>
      </c>
      <c r="E61" s="5">
        <v>14300</v>
      </c>
      <c r="F61" s="1" t="s">
        <v>13</v>
      </c>
    </row>
    <row r="62" spans="1:6" x14ac:dyDescent="0.3">
      <c r="A62" s="1" t="s">
        <v>95</v>
      </c>
      <c r="B62" s="3">
        <v>733756</v>
      </c>
      <c r="C62" s="2">
        <v>26242</v>
      </c>
      <c r="D62" s="1" t="s">
        <v>29</v>
      </c>
      <c r="E62" s="5">
        <v>11900</v>
      </c>
      <c r="F62" s="1" t="s">
        <v>6</v>
      </c>
    </row>
    <row r="63" spans="1:6" x14ac:dyDescent="0.3">
      <c r="A63" s="1" t="s">
        <v>96</v>
      </c>
      <c r="B63" s="3">
        <v>821142</v>
      </c>
      <c r="C63" s="2">
        <v>29713</v>
      </c>
      <c r="D63" s="1" t="s">
        <v>31</v>
      </c>
      <c r="E63" s="5">
        <v>5800</v>
      </c>
      <c r="F63" s="1" t="s">
        <v>21</v>
      </c>
    </row>
    <row r="64" spans="1:6" x14ac:dyDescent="0.3">
      <c r="A64" s="1" t="s">
        <v>97</v>
      </c>
      <c r="B64" s="3">
        <v>844321</v>
      </c>
      <c r="C64" s="2">
        <v>24895</v>
      </c>
      <c r="D64" s="1" t="s">
        <v>30</v>
      </c>
      <c r="E64" s="5">
        <v>7000</v>
      </c>
      <c r="F64" s="1" t="s">
        <v>20</v>
      </c>
    </row>
    <row r="65" spans="1:6" x14ac:dyDescent="0.3">
      <c r="A65" s="1" t="s">
        <v>98</v>
      </c>
      <c r="B65" s="3">
        <v>912346</v>
      </c>
      <c r="C65" s="2">
        <v>34395</v>
      </c>
      <c r="D65" s="1" t="s">
        <v>28</v>
      </c>
      <c r="E65" s="5">
        <v>4700</v>
      </c>
      <c r="F65" s="1" t="s">
        <v>8</v>
      </c>
    </row>
    <row r="66" spans="1:6" x14ac:dyDescent="0.3">
      <c r="A66" s="1" t="s">
        <v>99</v>
      </c>
      <c r="B66" s="3">
        <v>539234</v>
      </c>
      <c r="C66" s="2">
        <v>30463</v>
      </c>
      <c r="D66" s="1" t="s">
        <v>32</v>
      </c>
      <c r="E66" s="5">
        <v>13700</v>
      </c>
      <c r="F66" s="1" t="s">
        <v>6</v>
      </c>
    </row>
    <row r="67" spans="1:6" x14ac:dyDescent="0.3">
      <c r="A67" s="1" t="s">
        <v>100</v>
      </c>
      <c r="B67" s="3">
        <v>135947</v>
      </c>
      <c r="C67" s="2">
        <v>36034</v>
      </c>
      <c r="D67" s="1" t="s">
        <v>28</v>
      </c>
      <c r="E67" s="5">
        <v>5600</v>
      </c>
      <c r="F67" s="1" t="s">
        <v>23</v>
      </c>
    </row>
    <row r="68" spans="1:6" x14ac:dyDescent="0.3">
      <c r="A68" s="1" t="s">
        <v>101</v>
      </c>
      <c r="B68" s="3">
        <v>356154</v>
      </c>
      <c r="C68" s="2">
        <v>33126</v>
      </c>
      <c r="D68" s="1" t="s">
        <v>27</v>
      </c>
      <c r="E68" s="5">
        <v>13900</v>
      </c>
      <c r="F68" s="1" t="s">
        <v>6</v>
      </c>
    </row>
    <row r="69" spans="1:6" x14ac:dyDescent="0.3">
      <c r="A69" s="1" t="s">
        <v>102</v>
      </c>
      <c r="B69" s="3">
        <v>114803</v>
      </c>
      <c r="C69" s="2">
        <v>36292</v>
      </c>
      <c r="D69" s="1" t="s">
        <v>31</v>
      </c>
      <c r="E69" s="5">
        <v>14500</v>
      </c>
      <c r="F69" s="1" t="s">
        <v>21</v>
      </c>
    </row>
    <row r="70" spans="1:6" x14ac:dyDescent="0.3">
      <c r="A70" s="1" t="s">
        <v>103</v>
      </c>
      <c r="B70" s="3">
        <v>342333</v>
      </c>
      <c r="C70" s="2">
        <v>36316</v>
      </c>
      <c r="D70" s="1" t="s">
        <v>30</v>
      </c>
      <c r="E70" s="5">
        <v>10100</v>
      </c>
      <c r="F70" s="1" t="s">
        <v>25</v>
      </c>
    </row>
    <row r="71" spans="1:6" x14ac:dyDescent="0.3">
      <c r="A71" s="1" t="s">
        <v>104</v>
      </c>
      <c r="B71" s="3">
        <v>412347</v>
      </c>
      <c r="C71" s="2">
        <v>31231</v>
      </c>
      <c r="D71" s="1" t="s">
        <v>32</v>
      </c>
      <c r="E71" s="5">
        <v>13900</v>
      </c>
      <c r="F71" s="1" t="s">
        <v>11</v>
      </c>
    </row>
    <row r="72" spans="1:6" x14ac:dyDescent="0.3">
      <c r="A72" s="1" t="s">
        <v>105</v>
      </c>
      <c r="B72" s="3">
        <v>234355</v>
      </c>
      <c r="C72" s="2">
        <v>33108</v>
      </c>
      <c r="D72" s="1" t="s">
        <v>29</v>
      </c>
      <c r="E72" s="5">
        <v>5400</v>
      </c>
      <c r="F72" s="1" t="s">
        <v>17</v>
      </c>
    </row>
    <row r="73" spans="1:6" x14ac:dyDescent="0.3">
      <c r="A73" s="1" t="s">
        <v>106</v>
      </c>
      <c r="B73" s="3">
        <v>658843</v>
      </c>
      <c r="C73" s="2">
        <v>26390</v>
      </c>
      <c r="D73" s="1" t="s">
        <v>30</v>
      </c>
      <c r="E73" s="5">
        <v>8100</v>
      </c>
      <c r="F73" s="1" t="s">
        <v>9</v>
      </c>
    </row>
    <row r="74" spans="1:6" x14ac:dyDescent="0.3">
      <c r="A74" s="1" t="s">
        <v>107</v>
      </c>
      <c r="B74" s="3">
        <v>458618</v>
      </c>
      <c r="C74" s="2">
        <v>27227</v>
      </c>
      <c r="D74" s="1" t="s">
        <v>31</v>
      </c>
      <c r="E74" s="5">
        <v>11600</v>
      </c>
      <c r="F74" s="1" t="s">
        <v>24</v>
      </c>
    </row>
    <row r="75" spans="1:6" x14ac:dyDescent="0.3">
      <c r="A75" s="1" t="s">
        <v>108</v>
      </c>
      <c r="B75" s="3">
        <v>714629</v>
      </c>
      <c r="C75" s="2">
        <v>34598</v>
      </c>
      <c r="D75" s="1" t="s">
        <v>29</v>
      </c>
      <c r="E75" s="5">
        <v>14100</v>
      </c>
      <c r="F75" s="1" t="s">
        <v>15</v>
      </c>
    </row>
    <row r="76" spans="1:6" x14ac:dyDescent="0.3">
      <c r="A76" s="1" t="s">
        <v>109</v>
      </c>
      <c r="B76" s="3">
        <v>307552</v>
      </c>
      <c r="C76" s="2">
        <v>29013</v>
      </c>
      <c r="D76" s="1" t="s">
        <v>27</v>
      </c>
      <c r="E76" s="5">
        <v>14600</v>
      </c>
      <c r="F76" s="1" t="s">
        <v>9</v>
      </c>
    </row>
    <row r="77" spans="1:6" x14ac:dyDescent="0.3">
      <c r="A77" s="1" t="s">
        <v>110</v>
      </c>
      <c r="B77" s="3">
        <v>405507</v>
      </c>
      <c r="C77" s="2">
        <v>36489</v>
      </c>
      <c r="D77" s="1" t="s">
        <v>30</v>
      </c>
      <c r="E77" s="5">
        <v>9300</v>
      </c>
      <c r="F77" s="1" t="s">
        <v>11</v>
      </c>
    </row>
    <row r="78" spans="1:6" x14ac:dyDescent="0.3">
      <c r="A78" s="1" t="s">
        <v>111</v>
      </c>
      <c r="B78" s="3">
        <v>109646</v>
      </c>
      <c r="C78" s="2">
        <v>35699</v>
      </c>
      <c r="D78" s="1" t="s">
        <v>30</v>
      </c>
      <c r="E78" s="5">
        <v>9400</v>
      </c>
      <c r="F78" s="1" t="s">
        <v>16</v>
      </c>
    </row>
    <row r="79" spans="1:6" x14ac:dyDescent="0.3">
      <c r="A79" s="1" t="s">
        <v>112</v>
      </c>
      <c r="B79" s="3">
        <v>315601</v>
      </c>
      <c r="C79" s="2">
        <v>33998</v>
      </c>
      <c r="D79" s="1" t="s">
        <v>30</v>
      </c>
      <c r="E79" s="5">
        <v>6400</v>
      </c>
      <c r="F79" s="1" t="s">
        <v>26</v>
      </c>
    </row>
    <row r="80" spans="1:6" x14ac:dyDescent="0.3">
      <c r="A80" s="1" t="s">
        <v>113</v>
      </c>
      <c r="B80" s="3">
        <v>146417</v>
      </c>
      <c r="C80" s="2">
        <v>29624</v>
      </c>
      <c r="D80" s="1" t="s">
        <v>29</v>
      </c>
      <c r="E80" s="5">
        <v>3800</v>
      </c>
      <c r="F80" s="1" t="s">
        <v>10</v>
      </c>
    </row>
    <row r="81" spans="1:6" x14ac:dyDescent="0.3">
      <c r="A81" s="1" t="s">
        <v>114</v>
      </c>
      <c r="B81" s="3">
        <v>756331</v>
      </c>
      <c r="C81" s="2">
        <v>34458</v>
      </c>
      <c r="D81" s="1" t="s">
        <v>31</v>
      </c>
      <c r="E81" s="5">
        <v>10700</v>
      </c>
      <c r="F81" s="1" t="s">
        <v>6</v>
      </c>
    </row>
    <row r="82" spans="1:6" x14ac:dyDescent="0.3">
      <c r="A82" s="1" t="s">
        <v>115</v>
      </c>
      <c r="B82" s="3">
        <v>434332</v>
      </c>
      <c r="C82" s="2">
        <v>32506</v>
      </c>
      <c r="D82" s="1" t="s">
        <v>30</v>
      </c>
      <c r="E82" s="5">
        <v>8200</v>
      </c>
      <c r="F82" s="1" t="s">
        <v>19</v>
      </c>
    </row>
    <row r="83" spans="1:6" x14ac:dyDescent="0.3">
      <c r="A83" s="1" t="s">
        <v>116</v>
      </c>
      <c r="B83" s="3">
        <v>341908</v>
      </c>
      <c r="C83" s="2">
        <v>34041</v>
      </c>
      <c r="D83" s="1" t="s">
        <v>29</v>
      </c>
      <c r="E83" s="5">
        <v>8300</v>
      </c>
      <c r="F83" s="1" t="s">
        <v>11</v>
      </c>
    </row>
    <row r="84" spans="1:6" x14ac:dyDescent="0.3">
      <c r="A84" s="1" t="s">
        <v>117</v>
      </c>
      <c r="B84" s="3">
        <v>649908</v>
      </c>
      <c r="C84" s="2">
        <v>30965</v>
      </c>
      <c r="D84" s="1" t="s">
        <v>28</v>
      </c>
      <c r="E84" s="5">
        <v>12900</v>
      </c>
      <c r="F84" s="1" t="s">
        <v>18</v>
      </c>
    </row>
    <row r="85" spans="1:6" x14ac:dyDescent="0.3">
      <c r="A85" s="1" t="s">
        <v>118</v>
      </c>
      <c r="B85" s="3">
        <v>829554</v>
      </c>
      <c r="C85" s="2">
        <v>34823</v>
      </c>
      <c r="D85" s="1" t="s">
        <v>29</v>
      </c>
      <c r="E85" s="5">
        <v>6600</v>
      </c>
      <c r="F85" s="1" t="s">
        <v>19</v>
      </c>
    </row>
    <row r="86" spans="1:6" x14ac:dyDescent="0.3">
      <c r="A86" s="1" t="s">
        <v>119</v>
      </c>
      <c r="B86" s="3">
        <v>932655</v>
      </c>
      <c r="C86" s="2">
        <v>25686</v>
      </c>
      <c r="D86" s="1" t="s">
        <v>27</v>
      </c>
      <c r="E86" s="5">
        <v>6100</v>
      </c>
      <c r="F86" s="1" t="s">
        <v>6</v>
      </c>
    </row>
    <row r="87" spans="1:6" x14ac:dyDescent="0.3">
      <c r="A87" s="1" t="s">
        <v>120</v>
      </c>
      <c r="B87" s="3">
        <v>439104</v>
      </c>
      <c r="C87" s="2">
        <v>32668</v>
      </c>
      <c r="D87" s="1" t="s">
        <v>29</v>
      </c>
      <c r="E87" s="5">
        <v>4600</v>
      </c>
      <c r="F87" s="1" t="s">
        <v>8</v>
      </c>
    </row>
    <row r="88" spans="1:6" x14ac:dyDescent="0.3">
      <c r="A88" s="1" t="s">
        <v>121</v>
      </c>
      <c r="B88" s="3">
        <v>122806</v>
      </c>
      <c r="C88" s="2">
        <v>33188</v>
      </c>
      <c r="D88" s="1" t="s">
        <v>29</v>
      </c>
      <c r="E88" s="5">
        <v>14900</v>
      </c>
      <c r="F88" s="1" t="s">
        <v>26</v>
      </c>
    </row>
    <row r="89" spans="1:6" x14ac:dyDescent="0.3">
      <c r="A89" s="1" t="s">
        <v>122</v>
      </c>
      <c r="B89" s="3">
        <v>845658</v>
      </c>
      <c r="C89" s="2">
        <v>31193</v>
      </c>
      <c r="D89" s="1" t="s">
        <v>32</v>
      </c>
      <c r="E89" s="5">
        <v>9800</v>
      </c>
      <c r="F89" s="1" t="s">
        <v>9</v>
      </c>
    </row>
    <row r="90" spans="1:6" x14ac:dyDescent="0.3">
      <c r="A90" s="1" t="s">
        <v>123</v>
      </c>
      <c r="B90" s="3">
        <v>256939</v>
      </c>
      <c r="C90" s="2">
        <v>36817</v>
      </c>
      <c r="D90" s="1" t="s">
        <v>30</v>
      </c>
      <c r="E90" s="5">
        <v>14500</v>
      </c>
      <c r="F90" s="1" t="s">
        <v>6</v>
      </c>
    </row>
    <row r="91" spans="1:6" x14ac:dyDescent="0.3">
      <c r="A91" s="1" t="s">
        <v>124</v>
      </c>
      <c r="B91" s="3">
        <v>903712</v>
      </c>
      <c r="C91" s="2">
        <v>32809</v>
      </c>
      <c r="D91" s="1" t="s">
        <v>29</v>
      </c>
      <c r="E91" s="5">
        <v>14500</v>
      </c>
      <c r="F91" s="1" t="s">
        <v>21</v>
      </c>
    </row>
    <row r="92" spans="1:6" x14ac:dyDescent="0.3">
      <c r="A92" s="1" t="s">
        <v>125</v>
      </c>
      <c r="B92" s="3">
        <v>155634</v>
      </c>
      <c r="C92" s="2">
        <v>30501</v>
      </c>
      <c r="D92" s="1" t="s">
        <v>29</v>
      </c>
      <c r="E92" s="5">
        <v>3800</v>
      </c>
      <c r="F92" s="1" t="s">
        <v>5</v>
      </c>
    </row>
    <row r="93" spans="1:6" x14ac:dyDescent="0.3">
      <c r="A93" s="1" t="s">
        <v>126</v>
      </c>
      <c r="B93" s="3">
        <v>432555</v>
      </c>
      <c r="C93" s="2">
        <v>27978</v>
      </c>
      <c r="D93" s="1" t="s">
        <v>31</v>
      </c>
      <c r="E93" s="5">
        <v>10200</v>
      </c>
      <c r="F93" s="1" t="s">
        <v>6</v>
      </c>
    </row>
    <row r="94" spans="1:6" x14ac:dyDescent="0.3">
      <c r="A94" s="1" t="s">
        <v>127</v>
      </c>
      <c r="B94" s="3">
        <v>432845</v>
      </c>
      <c r="C94" s="2">
        <v>29012</v>
      </c>
      <c r="D94" s="1" t="s">
        <v>31</v>
      </c>
      <c r="E94" s="5">
        <v>14900</v>
      </c>
      <c r="F94" s="1" t="s">
        <v>14</v>
      </c>
    </row>
    <row r="95" spans="1:6" x14ac:dyDescent="0.3">
      <c r="A95" s="1" t="s">
        <v>128</v>
      </c>
      <c r="B95" s="3">
        <v>148928</v>
      </c>
      <c r="C95" s="2">
        <v>34421</v>
      </c>
      <c r="D95" s="1" t="s">
        <v>31</v>
      </c>
      <c r="E95" s="5">
        <v>4000</v>
      </c>
      <c r="F95" s="1" t="s">
        <v>17</v>
      </c>
    </row>
    <row r="96" spans="1:6" x14ac:dyDescent="0.3">
      <c r="A96" s="1" t="s">
        <v>129</v>
      </c>
      <c r="B96" s="3">
        <v>422346</v>
      </c>
      <c r="C96" s="2">
        <v>24867</v>
      </c>
      <c r="D96" s="1" t="s">
        <v>32</v>
      </c>
      <c r="E96" s="5">
        <v>8500</v>
      </c>
      <c r="F96" s="1" t="s">
        <v>19</v>
      </c>
    </row>
    <row r="97" spans="1:6" x14ac:dyDescent="0.3">
      <c r="A97" s="1" t="s">
        <v>130</v>
      </c>
      <c r="B97" s="3">
        <v>956242</v>
      </c>
      <c r="C97" s="2">
        <v>33202</v>
      </c>
      <c r="D97" s="1" t="s">
        <v>27</v>
      </c>
      <c r="E97" s="5">
        <v>13700</v>
      </c>
      <c r="F97" s="1" t="s">
        <v>6</v>
      </c>
    </row>
    <row r="98" spans="1:6" x14ac:dyDescent="0.3">
      <c r="A98" s="1" t="s">
        <v>131</v>
      </c>
      <c r="B98" s="3">
        <v>951222</v>
      </c>
      <c r="C98" s="2">
        <v>32215</v>
      </c>
      <c r="D98" s="1" t="s">
        <v>30</v>
      </c>
      <c r="E98" s="5">
        <v>14300</v>
      </c>
      <c r="F98" s="1" t="s">
        <v>7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8"/>
  <sheetViews>
    <sheetView showGridLines="0" zoomScale="120" zoomScaleNormal="120" workbookViewId="0"/>
  </sheetViews>
  <sheetFormatPr defaultRowHeight="14.4" x14ac:dyDescent="0.3"/>
  <cols>
    <col min="1" max="1" width="20.5546875" style="1" customWidth="1"/>
    <col min="2" max="2" width="10.21875" style="1" customWidth="1"/>
    <col min="3" max="3" width="12.88671875" style="1" customWidth="1"/>
    <col min="4" max="4" width="7.109375" style="1" customWidth="1"/>
    <col min="5" max="5" width="14.5546875" style="1" customWidth="1"/>
    <col min="6" max="6" width="10" style="1" customWidth="1"/>
    <col min="7" max="7" width="16.6640625" style="1" customWidth="1"/>
    <col min="8" max="8" width="12" style="1" customWidth="1"/>
  </cols>
  <sheetData>
    <row r="1" spans="1:8" x14ac:dyDescent="0.3">
      <c r="A1" s="15" t="s">
        <v>34</v>
      </c>
      <c r="B1" s="6" t="s">
        <v>0</v>
      </c>
      <c r="C1" s="6" t="s">
        <v>1</v>
      </c>
      <c r="D1" s="15" t="s">
        <v>132</v>
      </c>
      <c r="E1" s="6" t="s">
        <v>2</v>
      </c>
      <c r="F1" s="6" t="s">
        <v>3</v>
      </c>
      <c r="G1" s="6" t="s">
        <v>4</v>
      </c>
      <c r="H1" s="15" t="s">
        <v>133</v>
      </c>
    </row>
    <row r="2" spans="1:8" x14ac:dyDescent="0.3">
      <c r="A2" s="1" t="s">
        <v>35</v>
      </c>
      <c r="B2" s="3">
        <v>236715</v>
      </c>
      <c r="C2" s="2">
        <v>26753</v>
      </c>
      <c r="D2" s="4">
        <f ca="1">DATEDIF(C2,TODAY(),"Y")</f>
        <v>53</v>
      </c>
      <c r="E2" s="1" t="s">
        <v>28</v>
      </c>
      <c r="F2" s="5">
        <v>4400</v>
      </c>
      <c r="G2" s="1" t="e" vm="1">
        <v>#VALUE!</v>
      </c>
      <c r="H2" s="1" cm="1" vm="2">
        <f t="array" ref="H2">_FV(G2,"População")</f>
        <v>6747815</v>
      </c>
    </row>
    <row r="3" spans="1:8" x14ac:dyDescent="0.3">
      <c r="A3" s="1" t="s">
        <v>36</v>
      </c>
      <c r="B3" s="3">
        <v>123456</v>
      </c>
      <c r="C3" s="2">
        <v>33924</v>
      </c>
      <c r="D3" s="4">
        <f t="shared" ref="D3:D66" ca="1" si="0">DATEDIF(C3,TODAY(),"Y")</f>
        <v>33</v>
      </c>
      <c r="E3" s="1" t="s">
        <v>29</v>
      </c>
      <c r="F3" s="5">
        <v>4800</v>
      </c>
      <c r="G3" s="1" t="e" vm="1">
        <v>#VALUE!</v>
      </c>
      <c r="H3" s="1" cm="1" vm="2">
        <f t="array" ref="H3">_FV(G3,"População")</f>
        <v>6747815</v>
      </c>
    </row>
    <row r="4" spans="1:8" x14ac:dyDescent="0.3">
      <c r="A4" s="1" t="s">
        <v>37</v>
      </c>
      <c r="B4" s="3">
        <v>809213</v>
      </c>
      <c r="C4" s="2">
        <v>35295</v>
      </c>
      <c r="D4" s="4">
        <f t="shared" ca="1" si="0"/>
        <v>29</v>
      </c>
      <c r="E4" s="1" t="s">
        <v>27</v>
      </c>
      <c r="F4" s="5">
        <v>14500</v>
      </c>
      <c r="G4" s="1" t="e" vm="3">
        <v>#VALUE!</v>
      </c>
      <c r="H4" s="1" cm="1" vm="4">
        <f t="array" ref="H4">_FV(G4,"População")</f>
        <v>7252502</v>
      </c>
    </row>
    <row r="5" spans="1:8" x14ac:dyDescent="0.3">
      <c r="A5" s="1" t="s">
        <v>38</v>
      </c>
      <c r="B5" s="3">
        <v>108251</v>
      </c>
      <c r="C5" s="2">
        <v>36629</v>
      </c>
      <c r="D5" s="4">
        <f t="shared" ca="1" si="0"/>
        <v>26</v>
      </c>
      <c r="E5" s="1" t="s">
        <v>27</v>
      </c>
      <c r="F5" s="5">
        <v>6000</v>
      </c>
      <c r="G5" s="1" t="e" vm="5">
        <v>#VALUE!</v>
      </c>
      <c r="H5" s="1" cm="1" vm="6">
        <f t="array" ref="H5">_FV(G5,"População")</f>
        <v>2570160</v>
      </c>
    </row>
    <row r="6" spans="1:8" x14ac:dyDescent="0.3">
      <c r="A6" s="1" t="s">
        <v>39</v>
      </c>
      <c r="B6" s="3">
        <v>904603</v>
      </c>
      <c r="C6" s="2">
        <v>31822</v>
      </c>
      <c r="D6" s="4">
        <f t="shared" ca="1" si="0"/>
        <v>39</v>
      </c>
      <c r="E6" s="1" t="s">
        <v>29</v>
      </c>
      <c r="F6" s="5">
        <v>8500</v>
      </c>
      <c r="G6" s="1" t="e" vm="1">
        <v>#VALUE!</v>
      </c>
      <c r="H6" s="1" cm="1" vm="2">
        <f t="array" ref="H6">_FV(G6,"População")</f>
        <v>6747815</v>
      </c>
    </row>
    <row r="7" spans="1:8" x14ac:dyDescent="0.3">
      <c r="A7" s="1" t="s">
        <v>40</v>
      </c>
      <c r="B7" s="3">
        <v>654321</v>
      </c>
      <c r="C7" s="2">
        <v>30702</v>
      </c>
      <c r="D7" s="4">
        <f t="shared" ca="1" si="0"/>
        <v>42</v>
      </c>
      <c r="E7" s="1" t="s">
        <v>30</v>
      </c>
      <c r="F7" s="5">
        <v>6400</v>
      </c>
      <c r="G7" s="1" t="e" vm="7">
        <v>#VALUE!</v>
      </c>
      <c r="H7" s="1" cm="1" vm="8">
        <f t="array" ref="H7">_FV(G7,"População")</f>
        <v>12400232</v>
      </c>
    </row>
    <row r="8" spans="1:8" x14ac:dyDescent="0.3">
      <c r="A8" s="1" t="s">
        <v>41</v>
      </c>
      <c r="B8" s="3">
        <v>924115</v>
      </c>
      <c r="C8" s="2">
        <v>31348</v>
      </c>
      <c r="D8" s="4">
        <f t="shared" ca="1" si="0"/>
        <v>40</v>
      </c>
      <c r="E8" s="1" t="s">
        <v>28</v>
      </c>
      <c r="F8" s="5">
        <v>6200</v>
      </c>
      <c r="G8" s="1" t="e" vm="9">
        <v>#VALUE!</v>
      </c>
      <c r="H8" s="1" cm="1" vm="10">
        <f t="array" ref="H8">_FV(G8,"População")</f>
        <v>15127000</v>
      </c>
    </row>
    <row r="9" spans="1:8" x14ac:dyDescent="0.3">
      <c r="A9" s="1" t="s">
        <v>42</v>
      </c>
      <c r="B9" s="3">
        <v>331803</v>
      </c>
      <c r="C9" s="2">
        <v>27877</v>
      </c>
      <c r="D9" s="4">
        <f t="shared" ca="1" si="0"/>
        <v>50</v>
      </c>
      <c r="E9" s="1" t="s">
        <v>29</v>
      </c>
      <c r="F9" s="5">
        <v>5200</v>
      </c>
      <c r="G9" s="1" t="e" vm="11">
        <v>#VALUE!</v>
      </c>
      <c r="H9" s="1" cm="1" vm="12">
        <f t="array" ref="H9">_FV(G9,"População")</f>
        <v>9277727</v>
      </c>
    </row>
    <row r="10" spans="1:8" x14ac:dyDescent="0.3">
      <c r="A10" s="1" t="s">
        <v>43</v>
      </c>
      <c r="B10" s="3">
        <v>132516</v>
      </c>
      <c r="C10" s="2">
        <v>27579</v>
      </c>
      <c r="D10" s="4">
        <f t="shared" ca="1" si="0"/>
        <v>50</v>
      </c>
      <c r="E10" s="1" t="s">
        <v>30</v>
      </c>
      <c r="F10" s="5">
        <v>11300</v>
      </c>
      <c r="G10" s="1" t="e" vm="13">
        <v>#VALUE!</v>
      </c>
      <c r="H10" s="1" cm="1" vm="14">
        <f t="array" ref="H10">_FV(G10,"População")</f>
        <v>3873743</v>
      </c>
    </row>
    <row r="11" spans="1:8" x14ac:dyDescent="0.3">
      <c r="A11" s="1" t="s">
        <v>44</v>
      </c>
      <c r="B11" s="3">
        <v>546209</v>
      </c>
      <c r="C11" s="2">
        <v>30514</v>
      </c>
      <c r="D11" s="4">
        <f t="shared" ca="1" si="0"/>
        <v>42</v>
      </c>
      <c r="E11" s="1" t="s">
        <v>31</v>
      </c>
      <c r="F11" s="5">
        <v>14900</v>
      </c>
      <c r="G11" s="1" t="e" vm="1">
        <v>#VALUE!</v>
      </c>
      <c r="H11" s="1" cm="1" vm="2">
        <f t="array" ref="H11">_FV(G11,"População")</f>
        <v>6747815</v>
      </c>
    </row>
    <row r="12" spans="1:8" x14ac:dyDescent="0.3">
      <c r="A12" s="1" t="s">
        <v>45</v>
      </c>
      <c r="B12" s="3">
        <v>837859</v>
      </c>
      <c r="C12" s="2">
        <v>35331</v>
      </c>
      <c r="D12" s="4">
        <f t="shared" ca="1" si="0"/>
        <v>29</v>
      </c>
      <c r="E12" s="1" t="s">
        <v>27</v>
      </c>
      <c r="F12" s="5">
        <v>11800</v>
      </c>
      <c r="G12" s="1" t="e" vm="15">
        <v>#VALUE!</v>
      </c>
      <c r="H12" s="1" cm="1" vm="16">
        <f t="array" ref="H12">_FV(G12,"População")</f>
        <v>1496880</v>
      </c>
    </row>
    <row r="13" spans="1:8" x14ac:dyDescent="0.3">
      <c r="A13" s="1" t="s">
        <v>46</v>
      </c>
      <c r="B13" s="3">
        <v>706517</v>
      </c>
      <c r="C13" s="2">
        <v>26809</v>
      </c>
      <c r="D13" s="4">
        <f t="shared" ca="1" si="0"/>
        <v>53</v>
      </c>
      <c r="E13" s="1" t="s">
        <v>30</v>
      </c>
      <c r="F13" s="5">
        <v>11200</v>
      </c>
      <c r="G13" s="1" t="e" vm="17">
        <v>#VALUE!</v>
      </c>
      <c r="H13" s="1" cm="1" vm="18">
        <f t="array" ref="H13">_FV(G13,"População")</f>
        <v>3885049</v>
      </c>
    </row>
    <row r="14" spans="1:8" x14ac:dyDescent="0.3">
      <c r="A14" s="1" t="s">
        <v>47</v>
      </c>
      <c r="B14" s="3">
        <v>448932</v>
      </c>
      <c r="C14" s="2">
        <v>34917</v>
      </c>
      <c r="D14" s="4">
        <f t="shared" ca="1" si="0"/>
        <v>30</v>
      </c>
      <c r="E14" s="1" t="s">
        <v>32</v>
      </c>
      <c r="F14" s="5">
        <v>8300</v>
      </c>
      <c r="G14" s="1" t="e" vm="19">
        <v>#VALUE!</v>
      </c>
      <c r="H14" s="1" cm="1" vm="20">
        <f t="array" ref="H14">_FV(G14,"População")</f>
        <v>3914421</v>
      </c>
    </row>
    <row r="15" spans="1:8" x14ac:dyDescent="0.3">
      <c r="A15" s="1" t="s">
        <v>48</v>
      </c>
      <c r="B15" s="3">
        <v>256741</v>
      </c>
      <c r="C15" s="2">
        <v>25593</v>
      </c>
      <c r="D15" s="4">
        <f t="shared" ca="1" si="0"/>
        <v>56</v>
      </c>
      <c r="E15" s="1" t="s">
        <v>32</v>
      </c>
      <c r="F15" s="5">
        <v>13100</v>
      </c>
      <c r="G15" s="1" t="e" vm="21">
        <v>#VALUE!</v>
      </c>
      <c r="H15" s="1" cm="1" vm="22">
        <f t="array" ref="H15">_FV(G15,"População")</f>
        <v>488072</v>
      </c>
    </row>
    <row r="16" spans="1:8" x14ac:dyDescent="0.3">
      <c r="A16" s="1" t="s">
        <v>49</v>
      </c>
      <c r="B16" s="3">
        <v>807613</v>
      </c>
      <c r="C16" s="2">
        <v>26445</v>
      </c>
      <c r="D16" s="4">
        <f t="shared" ca="1" si="0"/>
        <v>54</v>
      </c>
      <c r="E16" s="1" t="s">
        <v>30</v>
      </c>
      <c r="F16" s="5">
        <v>10400</v>
      </c>
      <c r="G16" s="1" t="e" vm="17">
        <v>#VALUE!</v>
      </c>
      <c r="H16" s="1" cm="1" vm="18">
        <f t="array" ref="H16">_FV(G16,"População")</f>
        <v>3885049</v>
      </c>
    </row>
    <row r="17" spans="1:8" x14ac:dyDescent="0.3">
      <c r="A17" s="1" t="s">
        <v>50</v>
      </c>
      <c r="B17" s="3">
        <v>158744</v>
      </c>
      <c r="C17" s="2">
        <v>25519</v>
      </c>
      <c r="D17" s="4">
        <f t="shared" ca="1" si="0"/>
        <v>56</v>
      </c>
      <c r="E17" s="1" t="s">
        <v>28</v>
      </c>
      <c r="F17" s="5">
        <v>9300</v>
      </c>
      <c r="G17" s="1" t="e" vm="23">
        <v>#VALUE!</v>
      </c>
      <c r="H17" s="1" cm="1" vm="24">
        <f t="array" ref="H17">_FV(G17,"População")</f>
        <v>751000</v>
      </c>
    </row>
    <row r="18" spans="1:8" x14ac:dyDescent="0.3">
      <c r="A18" s="1" t="s">
        <v>51</v>
      </c>
      <c r="B18" s="3">
        <v>915827</v>
      </c>
      <c r="C18" s="2">
        <v>32357</v>
      </c>
      <c r="D18" s="4">
        <f t="shared" ca="1" si="0"/>
        <v>37</v>
      </c>
      <c r="E18" s="1" t="s">
        <v>28</v>
      </c>
      <c r="F18" s="5">
        <v>11700</v>
      </c>
      <c r="G18" s="1" t="e" vm="25">
        <v>#VALUE!</v>
      </c>
      <c r="H18" s="1" cm="1" vm="26">
        <f t="array" ref="H18">_FV(G18,"População")</f>
        <v>11597484</v>
      </c>
    </row>
    <row r="19" spans="1:8" x14ac:dyDescent="0.3">
      <c r="A19" s="1" t="s">
        <v>52</v>
      </c>
      <c r="B19" s="3">
        <v>458448</v>
      </c>
      <c r="C19" s="2">
        <v>28561</v>
      </c>
      <c r="D19" s="4">
        <f t="shared" ca="1" si="0"/>
        <v>48</v>
      </c>
      <c r="E19" s="1" t="s">
        <v>27</v>
      </c>
      <c r="F19" s="5">
        <v>9300</v>
      </c>
      <c r="G19" s="1" t="e" vm="27">
        <v>#VALUE!</v>
      </c>
      <c r="H19" s="1" cm="1" vm="28">
        <f t="array" ref="H19">_FV(G19,"População")</f>
        <v>6523222</v>
      </c>
    </row>
    <row r="20" spans="1:8" x14ac:dyDescent="0.3">
      <c r="A20" s="1" t="s">
        <v>53</v>
      </c>
      <c r="B20" s="3">
        <v>156934</v>
      </c>
      <c r="C20" s="2">
        <v>32416</v>
      </c>
      <c r="D20" s="4">
        <f t="shared" ca="1" si="0"/>
        <v>37</v>
      </c>
      <c r="E20" s="1" t="s">
        <v>27</v>
      </c>
      <c r="F20" s="5">
        <v>10900</v>
      </c>
      <c r="G20" s="1" t="e" vm="29">
        <v>#VALUE!</v>
      </c>
      <c r="H20" s="1" cm="1" vm="30">
        <f t="array" ref="H20">_FV(G20,"População")</f>
        <v>6851000</v>
      </c>
    </row>
    <row r="21" spans="1:8" x14ac:dyDescent="0.3">
      <c r="A21" s="1" t="s">
        <v>54</v>
      </c>
      <c r="B21" s="3">
        <v>201549</v>
      </c>
      <c r="C21" s="2">
        <v>28292</v>
      </c>
      <c r="D21" s="4">
        <f t="shared" ca="1" si="0"/>
        <v>48</v>
      </c>
      <c r="E21" s="1" t="s">
        <v>31</v>
      </c>
      <c r="F21" s="5">
        <v>7100</v>
      </c>
      <c r="G21" s="1" t="e" vm="7">
        <v>#VALUE!</v>
      </c>
      <c r="H21" s="1" cm="1" vm="8">
        <f t="array" ref="H21">_FV(G21,"População")</f>
        <v>12400232</v>
      </c>
    </row>
    <row r="22" spans="1:8" x14ac:dyDescent="0.3">
      <c r="A22" s="1" t="s">
        <v>55</v>
      </c>
      <c r="B22" s="3">
        <v>852204</v>
      </c>
      <c r="C22" s="2">
        <v>29769</v>
      </c>
      <c r="D22" s="4">
        <f t="shared" ca="1" si="0"/>
        <v>44</v>
      </c>
      <c r="E22" s="1" t="s">
        <v>31</v>
      </c>
      <c r="F22" s="5">
        <v>4300</v>
      </c>
      <c r="G22" s="1" t="e" vm="1">
        <v>#VALUE!</v>
      </c>
      <c r="H22" s="1" cm="1" vm="2">
        <f t="array" ref="H22">_FV(G22,"População")</f>
        <v>6747815</v>
      </c>
    </row>
    <row r="23" spans="1:8" x14ac:dyDescent="0.3">
      <c r="A23" s="1" t="s">
        <v>56</v>
      </c>
      <c r="B23" s="3">
        <v>414836</v>
      </c>
      <c r="C23" s="2">
        <v>27848</v>
      </c>
      <c r="D23" s="4">
        <f t="shared" ca="1" si="0"/>
        <v>50</v>
      </c>
      <c r="E23" s="1" t="s">
        <v>30</v>
      </c>
      <c r="F23" s="5">
        <v>3700</v>
      </c>
      <c r="G23" s="1" t="e" vm="3">
        <v>#VALUE!</v>
      </c>
      <c r="H23" s="1" cm="1" vm="4">
        <f t="array" ref="H23">_FV(G23,"População")</f>
        <v>7252502</v>
      </c>
    </row>
    <row r="24" spans="1:8" x14ac:dyDescent="0.3">
      <c r="A24" s="1" t="s">
        <v>57</v>
      </c>
      <c r="B24" s="3">
        <v>341846</v>
      </c>
      <c r="C24" s="2">
        <v>31810</v>
      </c>
      <c r="D24" s="4">
        <f t="shared" ca="1" si="0"/>
        <v>39</v>
      </c>
      <c r="E24" s="1" t="s">
        <v>31</v>
      </c>
      <c r="F24" s="5">
        <v>5700</v>
      </c>
      <c r="G24" s="1" t="e" vm="31">
        <v>#VALUE!</v>
      </c>
      <c r="H24" s="1" cm="1" vm="32">
        <f t="array" ref="H24">_FV(G24,"População")</f>
        <v>8778576</v>
      </c>
    </row>
    <row r="25" spans="1:8" x14ac:dyDescent="0.3">
      <c r="A25" s="1" t="s">
        <v>58</v>
      </c>
      <c r="B25" s="3">
        <v>147632</v>
      </c>
      <c r="C25" s="2">
        <v>30187</v>
      </c>
      <c r="D25" s="4">
        <f t="shared" ca="1" si="0"/>
        <v>43</v>
      </c>
      <c r="E25" s="1" t="s">
        <v>30</v>
      </c>
      <c r="F25" s="5">
        <v>8300</v>
      </c>
      <c r="G25" s="1" t="e" vm="33">
        <v>#VALUE!</v>
      </c>
      <c r="H25" s="1" cm="1" vm="34">
        <f t="array" ref="H25">_FV(G25,"População")</f>
        <v>8073924</v>
      </c>
    </row>
    <row r="26" spans="1:8" x14ac:dyDescent="0.3">
      <c r="A26" s="1" t="s">
        <v>59</v>
      </c>
      <c r="B26" s="3">
        <v>652941</v>
      </c>
      <c r="C26" s="2">
        <v>35984</v>
      </c>
      <c r="D26" s="4">
        <f t="shared" ca="1" si="0"/>
        <v>27</v>
      </c>
      <c r="E26" s="1" t="s">
        <v>29</v>
      </c>
      <c r="F26" s="5">
        <v>9300</v>
      </c>
      <c r="G26" s="1" t="e" vm="27">
        <v>#VALUE!</v>
      </c>
      <c r="H26" s="1" cm="1" vm="28">
        <f t="array" ref="H26">_FV(G26,"População")</f>
        <v>6523222</v>
      </c>
    </row>
    <row r="27" spans="1:8" x14ac:dyDescent="0.3">
      <c r="A27" s="1" t="s">
        <v>60</v>
      </c>
      <c r="B27" s="3">
        <v>444733</v>
      </c>
      <c r="C27" s="2">
        <v>28689</v>
      </c>
      <c r="D27" s="4">
        <f t="shared" ca="1" si="0"/>
        <v>47</v>
      </c>
      <c r="E27" s="1" t="s">
        <v>29</v>
      </c>
      <c r="F27" s="5">
        <v>9200</v>
      </c>
      <c r="G27" s="1" t="e" vm="35">
        <v>#VALUE!</v>
      </c>
      <c r="H27" s="1" cm="1" vm="36">
        <f t="array" ref="H27">_FV(G27,"População")</f>
        <v>3224357</v>
      </c>
    </row>
    <row r="28" spans="1:8" x14ac:dyDescent="0.3">
      <c r="A28" s="1" t="s">
        <v>61</v>
      </c>
      <c r="B28" s="3">
        <v>842823</v>
      </c>
      <c r="C28" s="2">
        <v>35335</v>
      </c>
      <c r="D28" s="4">
        <f t="shared" ca="1" si="0"/>
        <v>29</v>
      </c>
      <c r="E28" s="1" t="s">
        <v>32</v>
      </c>
      <c r="F28" s="5">
        <v>8100</v>
      </c>
      <c r="G28" s="1" t="e" vm="37">
        <v>#VALUE!</v>
      </c>
      <c r="H28" s="1" cm="1" vm="38">
        <f t="array" ref="H28">_FV(G28,"População")</f>
        <v>3321730</v>
      </c>
    </row>
    <row r="29" spans="1:8" x14ac:dyDescent="0.3">
      <c r="A29" s="1" t="s">
        <v>62</v>
      </c>
      <c r="B29" s="3">
        <v>842225</v>
      </c>
      <c r="C29" s="2">
        <v>35815</v>
      </c>
      <c r="D29" s="4">
        <f t="shared" ca="1" si="0"/>
        <v>28</v>
      </c>
      <c r="E29" s="1" t="s">
        <v>29</v>
      </c>
      <c r="F29" s="5">
        <v>7000</v>
      </c>
      <c r="G29" s="1" t="e" vm="33">
        <v>#VALUE!</v>
      </c>
      <c r="H29" s="1" cm="1" vm="34">
        <f t="array" ref="H29">_FV(G29,"População")</f>
        <v>8073924</v>
      </c>
    </row>
    <row r="30" spans="1:8" x14ac:dyDescent="0.3">
      <c r="A30" s="1" t="s">
        <v>63</v>
      </c>
      <c r="B30" s="3">
        <v>953425</v>
      </c>
      <c r="C30" s="2">
        <v>36690</v>
      </c>
      <c r="D30" s="4">
        <f t="shared" ca="1" si="0"/>
        <v>25</v>
      </c>
      <c r="E30" s="1" t="s">
        <v>29</v>
      </c>
      <c r="F30" s="5">
        <v>9700</v>
      </c>
      <c r="G30" s="1" t="e" vm="1">
        <v>#VALUE!</v>
      </c>
      <c r="H30" s="1" cm="1" vm="2">
        <f t="array" ref="H30">_FV(G30,"População")</f>
        <v>6747815</v>
      </c>
    </row>
    <row r="31" spans="1:8" x14ac:dyDescent="0.3">
      <c r="A31" s="1" t="s">
        <v>64</v>
      </c>
      <c r="B31" s="3">
        <v>416421</v>
      </c>
      <c r="C31" s="2">
        <v>25119</v>
      </c>
      <c r="D31" s="4">
        <f t="shared" ca="1" si="0"/>
        <v>57</v>
      </c>
      <c r="E31" s="1" t="s">
        <v>27</v>
      </c>
      <c r="F31" s="5">
        <v>5400</v>
      </c>
      <c r="G31" s="1" t="e" vm="17">
        <v>#VALUE!</v>
      </c>
      <c r="H31" s="1" cm="1" vm="18">
        <f t="array" ref="H31">_FV(G31,"População")</f>
        <v>3885049</v>
      </c>
    </row>
    <row r="32" spans="1:8" x14ac:dyDescent="0.3">
      <c r="A32" s="1" t="s">
        <v>65</v>
      </c>
      <c r="B32" s="3">
        <v>622521</v>
      </c>
      <c r="C32" s="2">
        <v>30022</v>
      </c>
      <c r="D32" s="4">
        <f t="shared" ca="1" si="0"/>
        <v>44</v>
      </c>
      <c r="E32" s="1" t="s">
        <v>31</v>
      </c>
      <c r="F32" s="5">
        <v>6200</v>
      </c>
      <c r="G32" s="1" t="e" vm="19">
        <v>#VALUE!</v>
      </c>
      <c r="H32" s="1" cm="1" vm="20">
        <f t="array" ref="H32">_FV(G32,"População")</f>
        <v>3914421</v>
      </c>
    </row>
    <row r="33" spans="1:8" x14ac:dyDescent="0.3">
      <c r="A33" s="1" t="s">
        <v>66</v>
      </c>
      <c r="B33" s="3">
        <v>347738</v>
      </c>
      <c r="C33" s="2">
        <v>28156</v>
      </c>
      <c r="D33" s="4">
        <f t="shared" ca="1" si="0"/>
        <v>49</v>
      </c>
      <c r="E33" s="1" t="s">
        <v>33</v>
      </c>
      <c r="F33" s="5">
        <v>6800</v>
      </c>
      <c r="G33" s="1" t="e" vm="39">
        <v>#VALUE!</v>
      </c>
      <c r="H33" s="1" cm="1" vm="40">
        <f t="array" ref="H33">_FV(G33,"População")</f>
        <v>2225000</v>
      </c>
    </row>
    <row r="34" spans="1:8" x14ac:dyDescent="0.3">
      <c r="A34" s="1" t="s">
        <v>67</v>
      </c>
      <c r="B34" s="3">
        <v>705651</v>
      </c>
      <c r="C34" s="2">
        <v>25158</v>
      </c>
      <c r="D34" s="4">
        <f t="shared" ca="1" si="0"/>
        <v>57</v>
      </c>
      <c r="E34" s="1" t="s">
        <v>27</v>
      </c>
      <c r="F34" s="5">
        <v>11800</v>
      </c>
      <c r="G34" s="1" t="e" vm="39">
        <v>#VALUE!</v>
      </c>
      <c r="H34" s="1" cm="1" vm="40">
        <f t="array" ref="H34">_FV(G34,"População")</f>
        <v>2225000</v>
      </c>
    </row>
    <row r="35" spans="1:8" x14ac:dyDescent="0.3">
      <c r="A35" s="1" t="s">
        <v>68</v>
      </c>
      <c r="B35" s="3">
        <v>223809</v>
      </c>
      <c r="C35" s="2">
        <v>27852</v>
      </c>
      <c r="D35" s="4">
        <f t="shared" ca="1" si="0"/>
        <v>50</v>
      </c>
      <c r="E35" s="1" t="s">
        <v>32</v>
      </c>
      <c r="F35" s="5">
        <v>4100</v>
      </c>
      <c r="G35" s="1" t="e" vm="23">
        <v>#VALUE!</v>
      </c>
      <c r="H35" s="1" cm="1" vm="24">
        <f t="array" ref="H35">_FV(G35,"População")</f>
        <v>751000</v>
      </c>
    </row>
    <row r="36" spans="1:8" x14ac:dyDescent="0.3">
      <c r="A36" s="1" t="s">
        <v>69</v>
      </c>
      <c r="B36" s="3">
        <v>526714</v>
      </c>
      <c r="C36" s="2">
        <v>35962</v>
      </c>
      <c r="D36" s="4">
        <f t="shared" ca="1" si="0"/>
        <v>27</v>
      </c>
      <c r="E36" s="1" t="s">
        <v>29</v>
      </c>
      <c r="F36" s="5">
        <v>11200</v>
      </c>
      <c r="G36" s="1" t="e" vm="23">
        <v>#VALUE!</v>
      </c>
      <c r="H36" s="1" cm="1" vm="24">
        <f t="array" ref="H36">_FV(G36,"População")</f>
        <v>751000</v>
      </c>
    </row>
    <row r="37" spans="1:8" x14ac:dyDescent="0.3">
      <c r="A37" s="1" t="s">
        <v>70</v>
      </c>
      <c r="B37" s="3">
        <v>202137</v>
      </c>
      <c r="C37" s="2">
        <v>29198</v>
      </c>
      <c r="D37" s="4">
        <f t="shared" ca="1" si="0"/>
        <v>46</v>
      </c>
      <c r="E37" s="1" t="s">
        <v>29</v>
      </c>
      <c r="F37" s="5">
        <v>13500</v>
      </c>
      <c r="G37" s="1" t="e" vm="17">
        <v>#VALUE!</v>
      </c>
      <c r="H37" s="1" cm="1" vm="18">
        <f t="array" ref="H37">_FV(G37,"População")</f>
        <v>3885049</v>
      </c>
    </row>
    <row r="38" spans="1:8" x14ac:dyDescent="0.3">
      <c r="A38" s="1" t="s">
        <v>71</v>
      </c>
      <c r="B38" s="3">
        <v>621421</v>
      </c>
      <c r="C38" s="2">
        <v>34262</v>
      </c>
      <c r="D38" s="4">
        <f t="shared" ca="1" si="0"/>
        <v>32</v>
      </c>
      <c r="E38" s="1" t="s">
        <v>31</v>
      </c>
      <c r="F38" s="5">
        <v>12800</v>
      </c>
      <c r="G38" s="1" t="e" vm="3">
        <v>#VALUE!</v>
      </c>
      <c r="H38" s="1" cm="1" vm="4">
        <f t="array" ref="H38">_FV(G38,"População")</f>
        <v>7252502</v>
      </c>
    </row>
    <row r="39" spans="1:8" x14ac:dyDescent="0.3">
      <c r="A39" s="1" t="s">
        <v>72</v>
      </c>
      <c r="B39" s="3">
        <v>632433</v>
      </c>
      <c r="C39" s="2">
        <v>28529</v>
      </c>
      <c r="D39" s="4">
        <f t="shared" ca="1" si="0"/>
        <v>48</v>
      </c>
      <c r="E39" s="1" t="s">
        <v>31</v>
      </c>
      <c r="F39" s="5">
        <v>3800</v>
      </c>
      <c r="G39" s="1" t="e" vm="41">
        <v>#VALUE!</v>
      </c>
      <c r="H39" s="1" cm="1" vm="42">
        <f t="array" ref="H39">_FV(G39,"População")</f>
        <v>3194718</v>
      </c>
    </row>
    <row r="40" spans="1:8" x14ac:dyDescent="0.3">
      <c r="A40" s="1" t="s">
        <v>73</v>
      </c>
      <c r="B40" s="3">
        <v>915741</v>
      </c>
      <c r="C40" s="2">
        <v>28571</v>
      </c>
      <c r="D40" s="4">
        <f t="shared" ca="1" si="0"/>
        <v>48</v>
      </c>
      <c r="E40" s="1" t="s">
        <v>27</v>
      </c>
      <c r="F40" s="5">
        <v>12000</v>
      </c>
      <c r="G40" s="1" t="e" vm="17">
        <v>#VALUE!</v>
      </c>
      <c r="H40" s="1" cm="1" vm="18">
        <f t="array" ref="H40">_FV(G40,"População")</f>
        <v>3885049</v>
      </c>
    </row>
    <row r="41" spans="1:8" x14ac:dyDescent="0.3">
      <c r="A41" s="1" t="s">
        <v>74</v>
      </c>
      <c r="B41" s="3">
        <v>122141</v>
      </c>
      <c r="C41" s="2">
        <v>32378</v>
      </c>
      <c r="D41" s="4">
        <f t="shared" ca="1" si="0"/>
        <v>37</v>
      </c>
      <c r="E41" s="1" t="s">
        <v>27</v>
      </c>
      <c r="F41" s="5">
        <v>11500</v>
      </c>
      <c r="G41" s="1" t="e" vm="1">
        <v>#VALUE!</v>
      </c>
      <c r="H41" s="1" cm="1" vm="2">
        <f t="array" ref="H41">_FV(G41,"População")</f>
        <v>6747815</v>
      </c>
    </row>
    <row r="42" spans="1:8" x14ac:dyDescent="0.3">
      <c r="A42" s="1" t="s">
        <v>75</v>
      </c>
      <c r="B42" s="3">
        <v>854624</v>
      </c>
      <c r="C42" s="2">
        <v>25884</v>
      </c>
      <c r="D42" s="4">
        <f t="shared" ca="1" si="0"/>
        <v>55</v>
      </c>
      <c r="E42" s="1" t="s">
        <v>27</v>
      </c>
      <c r="F42" s="5">
        <v>5700</v>
      </c>
      <c r="G42" s="1" t="e" vm="41">
        <v>#VALUE!</v>
      </c>
      <c r="H42" s="1" cm="1" vm="42">
        <f t="array" ref="H42">_FV(G42,"População")</f>
        <v>3194718</v>
      </c>
    </row>
    <row r="43" spans="1:8" x14ac:dyDescent="0.3">
      <c r="A43" s="1" t="s">
        <v>76</v>
      </c>
      <c r="B43" s="3">
        <v>228743</v>
      </c>
      <c r="C43" s="2">
        <v>32776</v>
      </c>
      <c r="D43" s="4">
        <f t="shared" ca="1" si="0"/>
        <v>36</v>
      </c>
      <c r="E43" s="1" t="s">
        <v>30</v>
      </c>
      <c r="F43" s="5">
        <v>4300</v>
      </c>
      <c r="G43" s="1" t="e" vm="13">
        <v>#VALUE!</v>
      </c>
      <c r="H43" s="1" cm="1" vm="14">
        <f t="array" ref="H43">_FV(G43,"População")</f>
        <v>3873743</v>
      </c>
    </row>
    <row r="44" spans="1:8" x14ac:dyDescent="0.3">
      <c r="A44" s="1" t="s">
        <v>77</v>
      </c>
      <c r="B44" s="3">
        <v>139404</v>
      </c>
      <c r="C44" s="2">
        <v>33048</v>
      </c>
      <c r="D44" s="4">
        <f t="shared" ca="1" si="0"/>
        <v>35</v>
      </c>
      <c r="E44" s="1" t="s">
        <v>30</v>
      </c>
      <c r="F44" s="5">
        <v>8300</v>
      </c>
      <c r="G44" s="1" t="e" vm="11">
        <v>#VALUE!</v>
      </c>
      <c r="H44" s="1" cm="1" vm="12">
        <f t="array" ref="H44">_FV(G44,"População")</f>
        <v>9277727</v>
      </c>
    </row>
    <row r="45" spans="1:8" x14ac:dyDescent="0.3">
      <c r="A45" s="1" t="s">
        <v>78</v>
      </c>
      <c r="B45" s="3">
        <v>913853</v>
      </c>
      <c r="C45" s="2">
        <v>33234</v>
      </c>
      <c r="D45" s="4">
        <f t="shared" ca="1" si="0"/>
        <v>35</v>
      </c>
      <c r="E45" s="1" t="s">
        <v>27</v>
      </c>
      <c r="F45" s="5">
        <v>9400</v>
      </c>
      <c r="G45" s="1" t="e" vm="1">
        <v>#VALUE!</v>
      </c>
      <c r="H45" s="1" cm="1" vm="2">
        <f t="array" ref="H45">_FV(G45,"População")</f>
        <v>6747815</v>
      </c>
    </row>
    <row r="46" spans="1:8" x14ac:dyDescent="0.3">
      <c r="A46" s="1" t="s">
        <v>79</v>
      </c>
      <c r="B46" s="3">
        <v>429239</v>
      </c>
      <c r="C46" s="2">
        <v>36216</v>
      </c>
      <c r="D46" s="4">
        <f t="shared" ca="1" si="0"/>
        <v>27</v>
      </c>
      <c r="E46" s="1" t="s">
        <v>32</v>
      </c>
      <c r="F46" s="5">
        <v>14900</v>
      </c>
      <c r="G46" s="1" t="e" vm="15">
        <v>#VALUE!</v>
      </c>
      <c r="H46" s="1" cm="1" vm="16">
        <f t="array" ref="H46">_FV(G46,"População")</f>
        <v>1496880</v>
      </c>
    </row>
    <row r="47" spans="1:8" x14ac:dyDescent="0.3">
      <c r="A47" s="1" t="s">
        <v>80</v>
      </c>
      <c r="B47" s="3">
        <v>904945</v>
      </c>
      <c r="C47" s="2">
        <v>30553</v>
      </c>
      <c r="D47" s="4">
        <f t="shared" ca="1" si="0"/>
        <v>42</v>
      </c>
      <c r="E47" s="1" t="s">
        <v>29</v>
      </c>
      <c r="F47" s="5">
        <v>5000</v>
      </c>
      <c r="G47" s="1" t="e" vm="43">
        <v>#VALUE!</v>
      </c>
      <c r="H47" s="1" cm="1" vm="44">
        <f t="array" ref="H47">_FV(G47,"População")</f>
        <v>20593356</v>
      </c>
    </row>
    <row r="48" spans="1:8" x14ac:dyDescent="0.3">
      <c r="A48" s="1" t="s">
        <v>81</v>
      </c>
      <c r="B48" s="3">
        <v>139606</v>
      </c>
      <c r="C48" s="2">
        <v>32852</v>
      </c>
      <c r="D48" s="4">
        <f t="shared" ca="1" si="0"/>
        <v>36</v>
      </c>
      <c r="E48" s="1" t="s">
        <v>31</v>
      </c>
      <c r="F48" s="5">
        <v>12500</v>
      </c>
      <c r="G48" s="1" t="e" vm="1">
        <v>#VALUE!</v>
      </c>
      <c r="H48" s="1" cm="1" vm="2">
        <f t="array" ref="H48">_FV(G48,"População")</f>
        <v>6747815</v>
      </c>
    </row>
    <row r="49" spans="1:8" x14ac:dyDescent="0.3">
      <c r="A49" s="1" t="s">
        <v>82</v>
      </c>
      <c r="B49" s="3">
        <v>144311</v>
      </c>
      <c r="C49" s="2">
        <v>30002</v>
      </c>
      <c r="D49" s="4">
        <f t="shared" ca="1" si="0"/>
        <v>44</v>
      </c>
      <c r="E49" s="1" t="s">
        <v>31</v>
      </c>
      <c r="F49" s="5">
        <v>11700</v>
      </c>
      <c r="G49" s="1" t="e" vm="17">
        <v>#VALUE!</v>
      </c>
      <c r="H49" s="1" cm="1" vm="18">
        <f t="array" ref="H49">_FV(G49,"População")</f>
        <v>3885049</v>
      </c>
    </row>
    <row r="50" spans="1:8" x14ac:dyDescent="0.3">
      <c r="A50" s="1" t="s">
        <v>83</v>
      </c>
      <c r="B50" s="3">
        <v>237645</v>
      </c>
      <c r="C50" s="2">
        <v>28510</v>
      </c>
      <c r="D50" s="4">
        <f t="shared" ca="1" si="0"/>
        <v>48</v>
      </c>
      <c r="E50" s="1" t="s">
        <v>29</v>
      </c>
      <c r="F50" s="5">
        <v>11000</v>
      </c>
      <c r="G50" s="1" t="e" vm="27">
        <v>#VALUE!</v>
      </c>
      <c r="H50" s="1" cm="1" vm="28">
        <f t="array" ref="H50">_FV(G50,"População")</f>
        <v>6523222</v>
      </c>
    </row>
    <row r="51" spans="1:8" x14ac:dyDescent="0.3">
      <c r="A51" s="1" t="s">
        <v>84</v>
      </c>
      <c r="B51" s="3">
        <v>342109</v>
      </c>
      <c r="C51" s="2">
        <v>31857</v>
      </c>
      <c r="D51" s="4">
        <f t="shared" ca="1" si="0"/>
        <v>39</v>
      </c>
      <c r="E51" s="1" t="s">
        <v>27</v>
      </c>
      <c r="F51" s="5">
        <v>5200</v>
      </c>
      <c r="G51" s="1" t="e" vm="35">
        <v>#VALUE!</v>
      </c>
      <c r="H51" s="1" cm="1" vm="36">
        <f t="array" ref="H51">_FV(G51,"População")</f>
        <v>3224357</v>
      </c>
    </row>
    <row r="52" spans="1:8" x14ac:dyDescent="0.3">
      <c r="A52" s="1" t="s">
        <v>85</v>
      </c>
      <c r="B52" s="3">
        <v>653908</v>
      </c>
      <c r="C52" s="2">
        <v>35956</v>
      </c>
      <c r="D52" s="4">
        <f t="shared" ca="1" si="0"/>
        <v>28</v>
      </c>
      <c r="E52" s="1" t="s">
        <v>27</v>
      </c>
      <c r="F52" s="5">
        <v>14400</v>
      </c>
      <c r="G52" s="1" t="e" vm="39">
        <v>#VALUE!</v>
      </c>
      <c r="H52" s="1" cm="1" vm="40">
        <f t="array" ref="H52">_FV(G52,"População")</f>
        <v>2225000</v>
      </c>
    </row>
    <row r="53" spans="1:8" x14ac:dyDescent="0.3">
      <c r="A53" s="1" t="s">
        <v>86</v>
      </c>
      <c r="B53" s="3">
        <v>453149</v>
      </c>
      <c r="C53" s="2">
        <v>35550</v>
      </c>
      <c r="D53" s="4">
        <f t="shared" ca="1" si="0"/>
        <v>29</v>
      </c>
      <c r="E53" s="1" t="s">
        <v>32</v>
      </c>
      <c r="F53" s="5">
        <v>5000</v>
      </c>
      <c r="G53" s="1" t="e" vm="37">
        <v>#VALUE!</v>
      </c>
      <c r="H53" s="1" cm="1" vm="38">
        <f t="array" ref="H53">_FV(G53,"População")</f>
        <v>3321730</v>
      </c>
    </row>
    <row r="54" spans="1:8" x14ac:dyDescent="0.3">
      <c r="A54" s="1" t="s">
        <v>87</v>
      </c>
      <c r="B54" s="3">
        <v>939824</v>
      </c>
      <c r="C54" s="2">
        <v>29167</v>
      </c>
      <c r="D54" s="4">
        <f t="shared" ca="1" si="0"/>
        <v>46</v>
      </c>
      <c r="E54" s="1" t="s">
        <v>28</v>
      </c>
      <c r="F54" s="5">
        <v>13600</v>
      </c>
      <c r="G54" s="1" t="e" vm="1">
        <v>#VALUE!</v>
      </c>
      <c r="H54" s="1" cm="1" vm="2">
        <f t="array" ref="H54">_FV(G54,"População")</f>
        <v>6747815</v>
      </c>
    </row>
    <row r="55" spans="1:8" x14ac:dyDescent="0.3">
      <c r="A55" s="1" t="s">
        <v>88</v>
      </c>
      <c r="B55" s="3">
        <v>858413</v>
      </c>
      <c r="C55" s="2">
        <v>27409</v>
      </c>
      <c r="D55" s="4">
        <f t="shared" ca="1" si="0"/>
        <v>51</v>
      </c>
      <c r="E55" s="1" t="s">
        <v>30</v>
      </c>
      <c r="F55" s="5">
        <v>9400</v>
      </c>
      <c r="G55" s="1" t="e" vm="13">
        <v>#VALUE!</v>
      </c>
      <c r="H55" s="1" cm="1" vm="14">
        <f t="array" ref="H55">_FV(G55,"População")</f>
        <v>3873743</v>
      </c>
    </row>
    <row r="56" spans="1:8" x14ac:dyDescent="0.3">
      <c r="A56" s="1" t="s">
        <v>89</v>
      </c>
      <c r="B56" s="3">
        <v>533955</v>
      </c>
      <c r="C56" s="2">
        <v>30261</v>
      </c>
      <c r="D56" s="4">
        <f t="shared" ca="1" si="0"/>
        <v>43</v>
      </c>
      <c r="E56" s="1" t="s">
        <v>33</v>
      </c>
      <c r="F56" s="5">
        <v>10000</v>
      </c>
      <c r="G56" s="1" t="e" vm="9">
        <v>#VALUE!</v>
      </c>
      <c r="H56" s="1" cm="1" vm="10">
        <f t="array" ref="H56">_FV(G56,"População")</f>
        <v>15127000</v>
      </c>
    </row>
    <row r="57" spans="1:8" x14ac:dyDescent="0.3">
      <c r="A57" s="1" t="s">
        <v>90</v>
      </c>
      <c r="B57" s="3">
        <v>815434</v>
      </c>
      <c r="C57" s="2">
        <v>31836</v>
      </c>
      <c r="D57" s="4">
        <f t="shared" ca="1" si="0"/>
        <v>39</v>
      </c>
      <c r="E57" s="1" t="s">
        <v>29</v>
      </c>
      <c r="F57" s="5">
        <v>9600</v>
      </c>
      <c r="G57" s="1" t="e" vm="41">
        <v>#VALUE!</v>
      </c>
      <c r="H57" s="1" cm="1" vm="42">
        <f t="array" ref="H57">_FV(G57,"População")</f>
        <v>3194718</v>
      </c>
    </row>
    <row r="58" spans="1:8" x14ac:dyDescent="0.3">
      <c r="A58" s="1" t="s">
        <v>91</v>
      </c>
      <c r="B58" s="3">
        <v>724401</v>
      </c>
      <c r="C58" s="2">
        <v>34712</v>
      </c>
      <c r="D58" s="4">
        <f t="shared" ca="1" si="0"/>
        <v>31</v>
      </c>
      <c r="E58" s="1" t="s">
        <v>30</v>
      </c>
      <c r="F58" s="5">
        <v>7000</v>
      </c>
      <c r="G58" s="1" t="e" vm="29">
        <v>#VALUE!</v>
      </c>
      <c r="H58" s="1" cm="1" vm="30">
        <f t="array" ref="H58">_FV(G58,"População")</f>
        <v>6851000</v>
      </c>
    </row>
    <row r="59" spans="1:8" x14ac:dyDescent="0.3">
      <c r="A59" s="1" t="s">
        <v>92</v>
      </c>
      <c r="B59" s="3">
        <v>255134</v>
      </c>
      <c r="C59" s="2">
        <v>28120</v>
      </c>
      <c r="D59" s="4">
        <f t="shared" ca="1" si="0"/>
        <v>49</v>
      </c>
      <c r="E59" s="1" t="s">
        <v>31</v>
      </c>
      <c r="F59" s="5">
        <v>4000</v>
      </c>
      <c r="G59" s="1" t="e" vm="31">
        <v>#VALUE!</v>
      </c>
      <c r="H59" s="1" cm="1" vm="32">
        <f t="array" ref="H59">_FV(G59,"População")</f>
        <v>8778576</v>
      </c>
    </row>
    <row r="60" spans="1:8" x14ac:dyDescent="0.3">
      <c r="A60" s="1" t="s">
        <v>93</v>
      </c>
      <c r="B60" s="3">
        <v>903948</v>
      </c>
      <c r="C60" s="2">
        <v>25672</v>
      </c>
      <c r="D60" s="4">
        <f t="shared" ca="1" si="0"/>
        <v>56</v>
      </c>
      <c r="E60" s="1" t="s">
        <v>28</v>
      </c>
      <c r="F60" s="5">
        <v>9500</v>
      </c>
      <c r="G60" s="1" t="e" vm="43">
        <v>#VALUE!</v>
      </c>
      <c r="H60" s="1" cm="1" vm="44">
        <f t="array" ref="H60">_FV(G60,"População")</f>
        <v>20593356</v>
      </c>
    </row>
    <row r="61" spans="1:8" x14ac:dyDescent="0.3">
      <c r="A61" s="1" t="s">
        <v>94</v>
      </c>
      <c r="B61" s="3">
        <v>843736</v>
      </c>
      <c r="C61" s="2">
        <v>32925</v>
      </c>
      <c r="D61" s="4">
        <f t="shared" ca="1" si="0"/>
        <v>36</v>
      </c>
      <c r="E61" s="1" t="s">
        <v>31</v>
      </c>
      <c r="F61" s="5">
        <v>14300</v>
      </c>
      <c r="G61" s="1" t="e" vm="15">
        <v>#VALUE!</v>
      </c>
      <c r="H61" s="1" cm="1" vm="16">
        <f t="array" ref="H61">_FV(G61,"População")</f>
        <v>1496880</v>
      </c>
    </row>
    <row r="62" spans="1:8" x14ac:dyDescent="0.3">
      <c r="A62" s="1" t="s">
        <v>95</v>
      </c>
      <c r="B62" s="3">
        <v>733756</v>
      </c>
      <c r="C62" s="2">
        <v>26242</v>
      </c>
      <c r="D62" s="4">
        <f t="shared" ca="1" si="0"/>
        <v>54</v>
      </c>
      <c r="E62" s="1" t="s">
        <v>29</v>
      </c>
      <c r="F62" s="5">
        <v>11900</v>
      </c>
      <c r="G62" s="1" t="e" vm="1">
        <v>#VALUE!</v>
      </c>
      <c r="H62" s="1" cm="1" vm="2">
        <f t="array" ref="H62">_FV(G62,"População")</f>
        <v>6747815</v>
      </c>
    </row>
    <row r="63" spans="1:8" x14ac:dyDescent="0.3">
      <c r="A63" s="1" t="s">
        <v>96</v>
      </c>
      <c r="B63" s="3">
        <v>821142</v>
      </c>
      <c r="C63" s="2">
        <v>29713</v>
      </c>
      <c r="D63" s="4">
        <f t="shared" ca="1" si="0"/>
        <v>45</v>
      </c>
      <c r="E63" s="1" t="s">
        <v>31</v>
      </c>
      <c r="F63" s="5">
        <v>5800</v>
      </c>
      <c r="G63" s="1" t="e" vm="33">
        <v>#VALUE!</v>
      </c>
      <c r="H63" s="1" cm="1" vm="34">
        <f t="array" ref="H63">_FV(G63,"População")</f>
        <v>8073924</v>
      </c>
    </row>
    <row r="64" spans="1:8" x14ac:dyDescent="0.3">
      <c r="A64" s="1" t="s">
        <v>97</v>
      </c>
      <c r="B64" s="3">
        <v>844321</v>
      </c>
      <c r="C64" s="2">
        <v>24895</v>
      </c>
      <c r="D64" s="4">
        <f t="shared" ca="1" si="0"/>
        <v>58</v>
      </c>
      <c r="E64" s="1" t="s">
        <v>30</v>
      </c>
      <c r="F64" s="5">
        <v>7000</v>
      </c>
      <c r="G64" s="1" t="e" vm="31">
        <v>#VALUE!</v>
      </c>
      <c r="H64" s="1" cm="1" vm="32">
        <f t="array" ref="H64">_FV(G64,"População")</f>
        <v>8778576</v>
      </c>
    </row>
    <row r="65" spans="1:8" x14ac:dyDescent="0.3">
      <c r="A65" s="1" t="s">
        <v>98</v>
      </c>
      <c r="B65" s="3">
        <v>912346</v>
      </c>
      <c r="C65" s="2">
        <v>34395</v>
      </c>
      <c r="D65" s="4">
        <f t="shared" ca="1" si="0"/>
        <v>32</v>
      </c>
      <c r="E65" s="1" t="s">
        <v>28</v>
      </c>
      <c r="F65" s="5">
        <v>4700</v>
      </c>
      <c r="G65" s="1" t="e" vm="5">
        <v>#VALUE!</v>
      </c>
      <c r="H65" s="1" cm="1" vm="6">
        <f t="array" ref="H65">_FV(G65,"População")</f>
        <v>2570160</v>
      </c>
    </row>
    <row r="66" spans="1:8" x14ac:dyDescent="0.3">
      <c r="A66" s="1" t="s">
        <v>99</v>
      </c>
      <c r="B66" s="3">
        <v>539234</v>
      </c>
      <c r="C66" s="2">
        <v>30463</v>
      </c>
      <c r="D66" s="4">
        <f t="shared" ca="1" si="0"/>
        <v>43</v>
      </c>
      <c r="E66" s="1" t="s">
        <v>32</v>
      </c>
      <c r="F66" s="5">
        <v>13700</v>
      </c>
      <c r="G66" s="1" t="e" vm="1">
        <v>#VALUE!</v>
      </c>
      <c r="H66" s="1" cm="1" vm="2">
        <f t="array" ref="H66">_FV(G66,"População")</f>
        <v>6747815</v>
      </c>
    </row>
    <row r="67" spans="1:8" x14ac:dyDescent="0.3">
      <c r="A67" s="1" t="s">
        <v>100</v>
      </c>
      <c r="B67" s="3">
        <v>135947</v>
      </c>
      <c r="C67" s="2">
        <v>36034</v>
      </c>
      <c r="D67" s="4">
        <f t="shared" ref="D67:D98" ca="1" si="1">DATEDIF(C67,TODAY(),"Y")</f>
        <v>27</v>
      </c>
      <c r="E67" s="1" t="s">
        <v>28</v>
      </c>
      <c r="F67" s="5">
        <v>5600</v>
      </c>
      <c r="G67" s="1" t="e" vm="37">
        <v>#VALUE!</v>
      </c>
      <c r="H67" s="1" cm="1" vm="38">
        <f t="array" ref="H67">_FV(G67,"População")</f>
        <v>3321730</v>
      </c>
    </row>
    <row r="68" spans="1:8" x14ac:dyDescent="0.3">
      <c r="A68" s="1" t="s">
        <v>101</v>
      </c>
      <c r="B68" s="3">
        <v>356154</v>
      </c>
      <c r="C68" s="2">
        <v>33126</v>
      </c>
      <c r="D68" s="4">
        <f t="shared" ca="1" si="1"/>
        <v>35</v>
      </c>
      <c r="E68" s="1" t="s">
        <v>27</v>
      </c>
      <c r="F68" s="5">
        <v>13900</v>
      </c>
      <c r="G68" s="1" t="e" vm="1">
        <v>#VALUE!</v>
      </c>
      <c r="H68" s="1" cm="1" vm="2">
        <f t="array" ref="H68">_FV(G68,"População")</f>
        <v>6747815</v>
      </c>
    </row>
    <row r="69" spans="1:8" x14ac:dyDescent="0.3">
      <c r="A69" s="1" t="s">
        <v>102</v>
      </c>
      <c r="B69" s="3">
        <v>114803</v>
      </c>
      <c r="C69" s="2">
        <v>36292</v>
      </c>
      <c r="D69" s="4">
        <f t="shared" ca="1" si="1"/>
        <v>27</v>
      </c>
      <c r="E69" s="1" t="s">
        <v>31</v>
      </c>
      <c r="F69" s="5">
        <v>14500</v>
      </c>
      <c r="G69" s="1" t="e" vm="33">
        <v>#VALUE!</v>
      </c>
      <c r="H69" s="1" cm="1" vm="34">
        <f t="array" ref="H69">_FV(G69,"População")</f>
        <v>8073924</v>
      </c>
    </row>
    <row r="70" spans="1:8" x14ac:dyDescent="0.3">
      <c r="A70" s="1" t="s">
        <v>103</v>
      </c>
      <c r="B70" s="3">
        <v>342333</v>
      </c>
      <c r="C70" s="2">
        <v>36316</v>
      </c>
      <c r="D70" s="4">
        <f t="shared" ca="1" si="1"/>
        <v>27</v>
      </c>
      <c r="E70" s="1" t="s">
        <v>30</v>
      </c>
      <c r="F70" s="5">
        <v>10100</v>
      </c>
      <c r="G70" s="1" t="e" vm="41">
        <v>#VALUE!</v>
      </c>
      <c r="H70" s="1" cm="1" vm="42">
        <f t="array" ref="H70">_FV(G70,"População")</f>
        <v>3194718</v>
      </c>
    </row>
    <row r="71" spans="1:8" x14ac:dyDescent="0.3">
      <c r="A71" s="1" t="s">
        <v>104</v>
      </c>
      <c r="B71" s="3">
        <v>412347</v>
      </c>
      <c r="C71" s="2">
        <v>31231</v>
      </c>
      <c r="D71" s="4">
        <f t="shared" ca="1" si="1"/>
        <v>40</v>
      </c>
      <c r="E71" s="1" t="s">
        <v>32</v>
      </c>
      <c r="F71" s="5">
        <v>13900</v>
      </c>
      <c r="G71" s="1" t="e" vm="11">
        <v>#VALUE!</v>
      </c>
      <c r="H71" s="1" cm="1" vm="12">
        <f t="array" ref="H71">_FV(G71,"População")</f>
        <v>9277727</v>
      </c>
    </row>
    <row r="72" spans="1:8" x14ac:dyDescent="0.3">
      <c r="A72" s="1" t="s">
        <v>105</v>
      </c>
      <c r="B72" s="3">
        <v>234355</v>
      </c>
      <c r="C72" s="2">
        <v>33108</v>
      </c>
      <c r="D72" s="4">
        <f t="shared" ca="1" si="1"/>
        <v>35</v>
      </c>
      <c r="E72" s="1" t="s">
        <v>29</v>
      </c>
      <c r="F72" s="5">
        <v>5400</v>
      </c>
      <c r="G72" s="1" t="e" vm="25">
        <v>#VALUE!</v>
      </c>
      <c r="H72" s="1" cm="1" vm="26">
        <f t="array" ref="H72">_FV(G72,"População")</f>
        <v>11597484</v>
      </c>
    </row>
    <row r="73" spans="1:8" x14ac:dyDescent="0.3">
      <c r="A73" s="1" t="s">
        <v>106</v>
      </c>
      <c r="B73" s="3">
        <v>658843</v>
      </c>
      <c r="C73" s="2">
        <v>26390</v>
      </c>
      <c r="D73" s="4">
        <f t="shared" ca="1" si="1"/>
        <v>54</v>
      </c>
      <c r="E73" s="1" t="s">
        <v>30</v>
      </c>
      <c r="F73" s="5">
        <v>8100</v>
      </c>
      <c r="G73" s="1" t="e" vm="7">
        <v>#VALUE!</v>
      </c>
      <c r="H73" s="1" cm="1" vm="8">
        <f t="array" ref="H73">_FV(G73,"População")</f>
        <v>12400232</v>
      </c>
    </row>
    <row r="74" spans="1:8" x14ac:dyDescent="0.3">
      <c r="A74" s="1" t="s">
        <v>107</v>
      </c>
      <c r="B74" s="3">
        <v>458618</v>
      </c>
      <c r="C74" s="2">
        <v>27227</v>
      </c>
      <c r="D74" s="4">
        <f t="shared" ca="1" si="1"/>
        <v>51</v>
      </c>
      <c r="E74" s="1" t="s">
        <v>31</v>
      </c>
      <c r="F74" s="5">
        <v>11600</v>
      </c>
      <c r="G74" s="1" t="e" vm="39">
        <v>#VALUE!</v>
      </c>
      <c r="H74" s="1" cm="1" vm="40">
        <f t="array" ref="H74">_FV(G74,"População")</f>
        <v>2225000</v>
      </c>
    </row>
    <row r="75" spans="1:8" x14ac:dyDescent="0.3">
      <c r="A75" s="1" t="s">
        <v>108</v>
      </c>
      <c r="B75" s="3">
        <v>714629</v>
      </c>
      <c r="C75" s="2">
        <v>34598</v>
      </c>
      <c r="D75" s="4">
        <f t="shared" ca="1" si="1"/>
        <v>31</v>
      </c>
      <c r="E75" s="1" t="s">
        <v>29</v>
      </c>
      <c r="F75" s="5">
        <v>14100</v>
      </c>
      <c r="G75" s="1" t="e" vm="21">
        <v>#VALUE!</v>
      </c>
      <c r="H75" s="1" cm="1" vm="22">
        <f t="array" ref="H75">_FV(G75,"População")</f>
        <v>488072</v>
      </c>
    </row>
    <row r="76" spans="1:8" x14ac:dyDescent="0.3">
      <c r="A76" s="1" t="s">
        <v>109</v>
      </c>
      <c r="B76" s="3">
        <v>307552</v>
      </c>
      <c r="C76" s="2">
        <v>29013</v>
      </c>
      <c r="D76" s="4">
        <f t="shared" ca="1" si="1"/>
        <v>47</v>
      </c>
      <c r="E76" s="1" t="s">
        <v>27</v>
      </c>
      <c r="F76" s="5">
        <v>14600</v>
      </c>
      <c r="G76" s="1" t="e" vm="45">
        <v>#VALUE!</v>
      </c>
      <c r="H76" s="1" cm="1" vm="46">
        <f t="array" ref="H76">_FV(G76,"População")</f>
        <v>44035304</v>
      </c>
    </row>
    <row r="77" spans="1:8" x14ac:dyDescent="0.3">
      <c r="A77" s="1" t="s">
        <v>110</v>
      </c>
      <c r="B77" s="3">
        <v>405507</v>
      </c>
      <c r="C77" s="2">
        <v>36489</v>
      </c>
      <c r="D77" s="4">
        <f t="shared" ca="1" si="1"/>
        <v>26</v>
      </c>
      <c r="E77" s="1" t="s">
        <v>30</v>
      </c>
      <c r="F77" s="5">
        <v>9300</v>
      </c>
      <c r="G77" s="1" t="e" vm="11">
        <v>#VALUE!</v>
      </c>
      <c r="H77" s="1" cm="1" vm="12">
        <f t="array" ref="H77">_FV(G77,"População")</f>
        <v>9277727</v>
      </c>
    </row>
    <row r="78" spans="1:8" x14ac:dyDescent="0.3">
      <c r="A78" s="1" t="s">
        <v>111</v>
      </c>
      <c r="B78" s="3">
        <v>109646</v>
      </c>
      <c r="C78" s="2">
        <v>35699</v>
      </c>
      <c r="D78" s="4">
        <f t="shared" ca="1" si="1"/>
        <v>28</v>
      </c>
      <c r="E78" s="1" t="s">
        <v>30</v>
      </c>
      <c r="F78" s="5">
        <v>9400</v>
      </c>
      <c r="G78" s="1" t="e" vm="23">
        <v>#VALUE!</v>
      </c>
      <c r="H78" s="1" cm="1" vm="24">
        <f t="array" ref="H78">_FV(G78,"População")</f>
        <v>751000</v>
      </c>
    </row>
    <row r="79" spans="1:8" x14ac:dyDescent="0.3">
      <c r="A79" s="1" t="s">
        <v>112</v>
      </c>
      <c r="B79" s="3">
        <v>315601</v>
      </c>
      <c r="C79" s="2">
        <v>33998</v>
      </c>
      <c r="D79" s="4">
        <f t="shared" ca="1" si="1"/>
        <v>33</v>
      </c>
      <c r="E79" s="1" t="s">
        <v>30</v>
      </c>
      <c r="F79" s="5">
        <v>6400</v>
      </c>
      <c r="G79" s="1" t="e" vm="43">
        <v>#VALUE!</v>
      </c>
      <c r="H79" s="1" cm="1" vm="44">
        <f t="array" ref="H79">_FV(G79,"População")</f>
        <v>20593356</v>
      </c>
    </row>
    <row r="80" spans="1:8" x14ac:dyDescent="0.3">
      <c r="A80" s="1" t="s">
        <v>113</v>
      </c>
      <c r="B80" s="3">
        <v>146417</v>
      </c>
      <c r="C80" s="2">
        <v>29624</v>
      </c>
      <c r="D80" s="4">
        <f t="shared" ca="1" si="1"/>
        <v>45</v>
      </c>
      <c r="E80" s="1" t="s">
        <v>29</v>
      </c>
      <c r="F80" s="5">
        <v>3800</v>
      </c>
      <c r="G80" s="1" t="e" vm="9">
        <v>#VALUE!</v>
      </c>
      <c r="H80" s="1" cm="1" vm="10">
        <f t="array" ref="H80">_FV(G80,"População")</f>
        <v>15127000</v>
      </c>
    </row>
    <row r="81" spans="1:8" x14ac:dyDescent="0.3">
      <c r="A81" s="1" t="s">
        <v>114</v>
      </c>
      <c r="B81" s="3">
        <v>756331</v>
      </c>
      <c r="C81" s="2">
        <v>34458</v>
      </c>
      <c r="D81" s="4">
        <f t="shared" ca="1" si="1"/>
        <v>32</v>
      </c>
      <c r="E81" s="1" t="s">
        <v>31</v>
      </c>
      <c r="F81" s="5">
        <v>10700</v>
      </c>
      <c r="G81" s="1" t="e" vm="1">
        <v>#VALUE!</v>
      </c>
      <c r="H81" s="1" cm="1" vm="2">
        <f t="array" ref="H81">_FV(G81,"População")</f>
        <v>6747815</v>
      </c>
    </row>
    <row r="82" spans="1:8" x14ac:dyDescent="0.3">
      <c r="A82" s="1" t="s">
        <v>115</v>
      </c>
      <c r="B82" s="3">
        <v>434332</v>
      </c>
      <c r="C82" s="2">
        <v>32506</v>
      </c>
      <c r="D82" s="4">
        <f t="shared" ca="1" si="1"/>
        <v>37</v>
      </c>
      <c r="E82" s="1" t="s">
        <v>30</v>
      </c>
      <c r="F82" s="5">
        <v>8200</v>
      </c>
      <c r="G82" s="1" t="e" vm="29">
        <v>#VALUE!</v>
      </c>
      <c r="H82" s="1" cm="1" vm="30">
        <f t="array" ref="H82">_FV(G82,"População")</f>
        <v>6851000</v>
      </c>
    </row>
    <row r="83" spans="1:8" x14ac:dyDescent="0.3">
      <c r="A83" s="1" t="s">
        <v>116</v>
      </c>
      <c r="B83" s="3">
        <v>341908</v>
      </c>
      <c r="C83" s="2">
        <v>34041</v>
      </c>
      <c r="D83" s="4">
        <f t="shared" ca="1" si="1"/>
        <v>33</v>
      </c>
      <c r="E83" s="1" t="s">
        <v>29</v>
      </c>
      <c r="F83" s="5">
        <v>8300</v>
      </c>
      <c r="G83" s="1" t="e" vm="11">
        <v>#VALUE!</v>
      </c>
      <c r="H83" s="1" cm="1" vm="12">
        <f t="array" ref="H83">_FV(G83,"População")</f>
        <v>9277727</v>
      </c>
    </row>
    <row r="84" spans="1:8" x14ac:dyDescent="0.3">
      <c r="A84" s="1" t="s">
        <v>117</v>
      </c>
      <c r="B84" s="3">
        <v>649908</v>
      </c>
      <c r="C84" s="2">
        <v>30965</v>
      </c>
      <c r="D84" s="4">
        <f t="shared" ca="1" si="1"/>
        <v>41</v>
      </c>
      <c r="E84" s="1" t="s">
        <v>28</v>
      </c>
      <c r="F84" s="5">
        <v>12900</v>
      </c>
      <c r="G84" s="1" t="e" vm="27">
        <v>#VALUE!</v>
      </c>
      <c r="H84" s="1" cm="1" vm="28">
        <f t="array" ref="H84">_FV(G84,"População")</f>
        <v>6523222</v>
      </c>
    </row>
    <row r="85" spans="1:8" x14ac:dyDescent="0.3">
      <c r="A85" s="1" t="s">
        <v>118</v>
      </c>
      <c r="B85" s="3">
        <v>829554</v>
      </c>
      <c r="C85" s="2">
        <v>34823</v>
      </c>
      <c r="D85" s="4">
        <f t="shared" ca="1" si="1"/>
        <v>31</v>
      </c>
      <c r="E85" s="1" t="s">
        <v>29</v>
      </c>
      <c r="F85" s="5">
        <v>6600</v>
      </c>
      <c r="G85" s="1" t="e" vm="29">
        <v>#VALUE!</v>
      </c>
      <c r="H85" s="1" cm="1" vm="30">
        <f t="array" ref="H85">_FV(G85,"População")</f>
        <v>6851000</v>
      </c>
    </row>
    <row r="86" spans="1:8" x14ac:dyDescent="0.3">
      <c r="A86" s="1" t="s">
        <v>119</v>
      </c>
      <c r="B86" s="3">
        <v>932655</v>
      </c>
      <c r="C86" s="2">
        <v>25686</v>
      </c>
      <c r="D86" s="4">
        <f t="shared" ca="1" si="1"/>
        <v>56</v>
      </c>
      <c r="E86" s="1" t="s">
        <v>27</v>
      </c>
      <c r="F86" s="5">
        <v>6100</v>
      </c>
      <c r="G86" s="1" t="e" vm="1">
        <v>#VALUE!</v>
      </c>
      <c r="H86" s="1" cm="1" vm="2">
        <f t="array" ref="H86">_FV(G86,"População")</f>
        <v>6747815</v>
      </c>
    </row>
    <row r="87" spans="1:8" x14ac:dyDescent="0.3">
      <c r="A87" s="1" t="s">
        <v>120</v>
      </c>
      <c r="B87" s="3">
        <v>439104</v>
      </c>
      <c r="C87" s="2">
        <v>32668</v>
      </c>
      <c r="D87" s="4">
        <f t="shared" ca="1" si="1"/>
        <v>37</v>
      </c>
      <c r="E87" s="1" t="s">
        <v>29</v>
      </c>
      <c r="F87" s="5">
        <v>4600</v>
      </c>
      <c r="G87" s="1" t="e" vm="5">
        <v>#VALUE!</v>
      </c>
      <c r="H87" s="1" cm="1" vm="6">
        <f t="array" ref="H87">_FV(G87,"População")</f>
        <v>2570160</v>
      </c>
    </row>
    <row r="88" spans="1:8" x14ac:dyDescent="0.3">
      <c r="A88" s="1" t="s">
        <v>121</v>
      </c>
      <c r="B88" s="3">
        <v>122806</v>
      </c>
      <c r="C88" s="2">
        <v>33188</v>
      </c>
      <c r="D88" s="4">
        <f t="shared" ca="1" si="1"/>
        <v>35</v>
      </c>
      <c r="E88" s="1" t="s">
        <v>29</v>
      </c>
      <c r="F88" s="5">
        <v>14900</v>
      </c>
      <c r="G88" s="1" t="e" vm="43">
        <v>#VALUE!</v>
      </c>
      <c r="H88" s="1" cm="1" vm="44">
        <f t="array" ref="H88">_FV(G88,"População")</f>
        <v>20593356</v>
      </c>
    </row>
    <row r="89" spans="1:8" x14ac:dyDescent="0.3">
      <c r="A89" s="1" t="s">
        <v>122</v>
      </c>
      <c r="B89" s="3">
        <v>845658</v>
      </c>
      <c r="C89" s="2">
        <v>31193</v>
      </c>
      <c r="D89" s="4">
        <f t="shared" ca="1" si="1"/>
        <v>41</v>
      </c>
      <c r="E89" s="1" t="s">
        <v>32</v>
      </c>
      <c r="F89" s="5">
        <v>9800</v>
      </c>
      <c r="G89" s="1" t="e" vm="7">
        <v>#VALUE!</v>
      </c>
      <c r="H89" s="1" cm="1" vm="8">
        <f t="array" ref="H89">_FV(G89,"População")</f>
        <v>12400232</v>
      </c>
    </row>
    <row r="90" spans="1:8" x14ac:dyDescent="0.3">
      <c r="A90" s="1" t="s">
        <v>123</v>
      </c>
      <c r="B90" s="3">
        <v>256939</v>
      </c>
      <c r="C90" s="2">
        <v>36817</v>
      </c>
      <c r="D90" s="4">
        <f t="shared" ca="1" si="1"/>
        <v>25</v>
      </c>
      <c r="E90" s="1" t="s">
        <v>30</v>
      </c>
      <c r="F90" s="5">
        <v>14500</v>
      </c>
      <c r="G90" s="1" t="e" vm="1">
        <v>#VALUE!</v>
      </c>
      <c r="H90" s="1" cm="1" vm="2">
        <f t="array" ref="H90">_FV(G90,"População")</f>
        <v>6747815</v>
      </c>
    </row>
    <row r="91" spans="1:8" x14ac:dyDescent="0.3">
      <c r="A91" s="1" t="s">
        <v>124</v>
      </c>
      <c r="B91" s="3">
        <v>903712</v>
      </c>
      <c r="C91" s="2">
        <v>32809</v>
      </c>
      <c r="D91" s="4">
        <f t="shared" ca="1" si="1"/>
        <v>36</v>
      </c>
      <c r="E91" s="1" t="s">
        <v>29</v>
      </c>
      <c r="F91" s="5">
        <v>14500</v>
      </c>
      <c r="G91" s="1" t="e" vm="33">
        <v>#VALUE!</v>
      </c>
      <c r="H91" s="1" cm="1" vm="34">
        <f t="array" ref="H91">_FV(G91,"População")</f>
        <v>8073924</v>
      </c>
    </row>
    <row r="92" spans="1:8" x14ac:dyDescent="0.3">
      <c r="A92" s="1" t="s">
        <v>125</v>
      </c>
      <c r="B92" s="3">
        <v>155634</v>
      </c>
      <c r="C92" s="2">
        <v>30501</v>
      </c>
      <c r="D92" s="4">
        <f t="shared" ca="1" si="1"/>
        <v>42</v>
      </c>
      <c r="E92" s="1" t="s">
        <v>29</v>
      </c>
      <c r="F92" s="5">
        <v>3800</v>
      </c>
      <c r="G92" s="1" t="e" vm="17">
        <v>#VALUE!</v>
      </c>
      <c r="H92" s="1" cm="1" vm="18">
        <f t="array" ref="H92">_FV(G92,"População")</f>
        <v>3885049</v>
      </c>
    </row>
    <row r="93" spans="1:8" x14ac:dyDescent="0.3">
      <c r="A93" s="1" t="s">
        <v>126</v>
      </c>
      <c r="B93" s="3">
        <v>432555</v>
      </c>
      <c r="C93" s="2">
        <v>27978</v>
      </c>
      <c r="D93" s="4">
        <f t="shared" ca="1" si="1"/>
        <v>49</v>
      </c>
      <c r="E93" s="1" t="s">
        <v>31</v>
      </c>
      <c r="F93" s="5">
        <v>10200</v>
      </c>
      <c r="G93" s="1" t="e" vm="1">
        <v>#VALUE!</v>
      </c>
      <c r="H93" s="1" cm="1" vm="2">
        <f t="array" ref="H93">_FV(G93,"População")</f>
        <v>6747815</v>
      </c>
    </row>
    <row r="94" spans="1:8" x14ac:dyDescent="0.3">
      <c r="A94" s="1" t="s">
        <v>127</v>
      </c>
      <c r="B94" s="3">
        <v>432845</v>
      </c>
      <c r="C94" s="2">
        <v>29012</v>
      </c>
      <c r="D94" s="4">
        <f t="shared" ca="1" si="1"/>
        <v>47</v>
      </c>
      <c r="E94" s="1" t="s">
        <v>31</v>
      </c>
      <c r="F94" s="5">
        <v>14900</v>
      </c>
      <c r="G94" s="1" t="e" vm="19">
        <v>#VALUE!</v>
      </c>
      <c r="H94" s="1" cm="1" vm="20">
        <f t="array" ref="H94">_FV(G94,"População")</f>
        <v>3914421</v>
      </c>
    </row>
    <row r="95" spans="1:8" x14ac:dyDescent="0.3">
      <c r="A95" s="1" t="s">
        <v>128</v>
      </c>
      <c r="B95" s="3">
        <v>148928</v>
      </c>
      <c r="C95" s="2">
        <v>34421</v>
      </c>
      <c r="D95" s="4">
        <f t="shared" ca="1" si="1"/>
        <v>32</v>
      </c>
      <c r="E95" s="1" t="s">
        <v>31</v>
      </c>
      <c r="F95" s="5">
        <v>4000</v>
      </c>
      <c r="G95" s="1" t="e" vm="25">
        <v>#VALUE!</v>
      </c>
      <c r="H95" s="1" cm="1" vm="26">
        <f t="array" ref="H95">_FV(G95,"População")</f>
        <v>11597484</v>
      </c>
    </row>
    <row r="96" spans="1:8" x14ac:dyDescent="0.3">
      <c r="A96" s="1" t="s">
        <v>129</v>
      </c>
      <c r="B96" s="3">
        <v>422346</v>
      </c>
      <c r="C96" s="2">
        <v>24867</v>
      </c>
      <c r="D96" s="4">
        <f t="shared" ca="1" si="1"/>
        <v>58</v>
      </c>
      <c r="E96" s="1" t="s">
        <v>32</v>
      </c>
      <c r="F96" s="5">
        <v>8500</v>
      </c>
      <c r="G96" s="1" t="e" vm="29">
        <v>#VALUE!</v>
      </c>
      <c r="H96" s="1" cm="1" vm="30">
        <f t="array" ref="H96">_FV(G96,"População")</f>
        <v>6851000</v>
      </c>
    </row>
    <row r="97" spans="1:8" x14ac:dyDescent="0.3">
      <c r="A97" s="1" t="s">
        <v>130</v>
      </c>
      <c r="B97" s="3">
        <v>956242</v>
      </c>
      <c r="C97" s="2">
        <v>33202</v>
      </c>
      <c r="D97" s="4">
        <f t="shared" ca="1" si="1"/>
        <v>35</v>
      </c>
      <c r="E97" s="1" t="s">
        <v>27</v>
      </c>
      <c r="F97" s="5">
        <v>13700</v>
      </c>
      <c r="G97" s="1" t="e" vm="1">
        <v>#VALUE!</v>
      </c>
      <c r="H97" s="1" cm="1" vm="2">
        <f t="array" ref="H97">_FV(G97,"População")</f>
        <v>6747815</v>
      </c>
    </row>
    <row r="98" spans="1:8" x14ac:dyDescent="0.3">
      <c r="A98" s="1" t="s">
        <v>131</v>
      </c>
      <c r="B98" s="3">
        <v>951222</v>
      </c>
      <c r="C98" s="2">
        <v>32215</v>
      </c>
      <c r="D98" s="4">
        <f t="shared" ca="1" si="1"/>
        <v>38</v>
      </c>
      <c r="E98" s="1" t="s">
        <v>30</v>
      </c>
      <c r="F98" s="5">
        <v>14300</v>
      </c>
      <c r="G98" s="1" t="e" vm="3">
        <v>#VALUE!</v>
      </c>
      <c r="H98" s="1" cm="1" vm="4">
        <f t="array" ref="H98">_FV(G98,"População")</f>
        <v>7252502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98"/>
  <sheetViews>
    <sheetView showGridLines="0" zoomScale="120" zoomScaleNormal="120" workbookViewId="0">
      <selection activeCell="K11" sqref="K11"/>
    </sheetView>
  </sheetViews>
  <sheetFormatPr defaultRowHeight="14.4" x14ac:dyDescent="0.3"/>
  <cols>
    <col min="1" max="1" width="20.5546875" customWidth="1"/>
    <col min="2" max="2" width="10.21875" customWidth="1"/>
    <col min="3" max="3" width="12.88671875" customWidth="1"/>
    <col min="4" max="4" width="7.109375" customWidth="1"/>
    <col min="5" max="5" width="14.5546875" customWidth="1"/>
    <col min="6" max="6" width="10" customWidth="1"/>
    <col min="7" max="7" width="16.6640625" customWidth="1"/>
    <col min="10" max="11" width="15" customWidth="1"/>
  </cols>
  <sheetData>
    <row r="1" spans="1:12" x14ac:dyDescent="0.3">
      <c r="A1" s="6" t="s">
        <v>34</v>
      </c>
      <c r="B1" s="6" t="s">
        <v>0</v>
      </c>
      <c r="C1" s="6" t="s">
        <v>1</v>
      </c>
      <c r="D1" s="6" t="s">
        <v>132</v>
      </c>
      <c r="E1" s="6" t="s">
        <v>2</v>
      </c>
      <c r="F1" s="6" t="s">
        <v>3</v>
      </c>
      <c r="G1" s="6" t="s">
        <v>4</v>
      </c>
      <c r="H1" s="8"/>
      <c r="I1" s="8"/>
      <c r="J1" s="8"/>
      <c r="K1" s="8"/>
      <c r="L1" s="8"/>
    </row>
    <row r="2" spans="1:12" x14ac:dyDescent="0.3">
      <c r="A2" s="1" t="s">
        <v>35</v>
      </c>
      <c r="B2" s="3">
        <v>236715</v>
      </c>
      <c r="C2" s="2">
        <v>26753</v>
      </c>
      <c r="D2" s="4">
        <f ca="1">DATEDIF(C2,TODAY(),"Y")</f>
        <v>53</v>
      </c>
      <c r="E2" s="1" t="s">
        <v>28</v>
      </c>
      <c r="F2" s="5">
        <v>4400</v>
      </c>
      <c r="G2" s="1" t="s">
        <v>6</v>
      </c>
      <c r="H2" s="8"/>
      <c r="I2" s="8"/>
      <c r="J2" s="16" t="s">
        <v>2</v>
      </c>
      <c r="K2" s="10" t="s">
        <v>134</v>
      </c>
      <c r="L2" s="8"/>
    </row>
    <row r="3" spans="1:12" x14ac:dyDescent="0.3">
      <c r="A3" s="1" t="s">
        <v>36</v>
      </c>
      <c r="B3" s="3">
        <v>123456</v>
      </c>
      <c r="C3" s="2">
        <v>33924</v>
      </c>
      <c r="D3" s="4">
        <f t="shared" ref="D3:D66" ca="1" si="0">DATEDIF(C3,TODAY(),"Y")</f>
        <v>33</v>
      </c>
      <c r="E3" s="1" t="s">
        <v>29</v>
      </c>
      <c r="F3" s="5">
        <v>4800</v>
      </c>
      <c r="G3" s="1" t="s">
        <v>6</v>
      </c>
      <c r="H3" s="8"/>
      <c r="I3" s="8"/>
      <c r="J3" s="9" t="s">
        <v>28</v>
      </c>
      <c r="K3" s="7">
        <f>COUNTIFS(E:E,"Compras")</f>
        <v>9</v>
      </c>
      <c r="L3" s="8"/>
    </row>
    <row r="4" spans="1:12" x14ac:dyDescent="0.3">
      <c r="A4" s="1" t="s">
        <v>37</v>
      </c>
      <c r="B4" s="3">
        <v>809213</v>
      </c>
      <c r="C4" s="2">
        <v>35295</v>
      </c>
      <c r="D4" s="4">
        <f t="shared" ca="1" si="0"/>
        <v>29</v>
      </c>
      <c r="E4" s="1" t="s">
        <v>27</v>
      </c>
      <c r="F4" s="5">
        <v>14500</v>
      </c>
      <c r="G4" s="1" t="s">
        <v>7</v>
      </c>
      <c r="H4" s="8"/>
      <c r="I4" s="8"/>
      <c r="J4" s="9" t="s">
        <v>29</v>
      </c>
      <c r="K4" s="7">
        <f>COUNTIFS(E:E,"Comercial")</f>
        <v>22</v>
      </c>
      <c r="L4" s="8"/>
    </row>
    <row r="5" spans="1:12" x14ac:dyDescent="0.3">
      <c r="A5" s="1" t="s">
        <v>38</v>
      </c>
      <c r="B5" s="3">
        <v>108251</v>
      </c>
      <c r="C5" s="2">
        <v>36629</v>
      </c>
      <c r="D5" s="4">
        <f t="shared" ca="1" si="0"/>
        <v>26</v>
      </c>
      <c r="E5" s="1" t="s">
        <v>27</v>
      </c>
      <c r="F5" s="5">
        <v>6000</v>
      </c>
      <c r="G5" s="1" t="s">
        <v>8</v>
      </c>
      <c r="H5" s="8"/>
      <c r="I5" s="8"/>
      <c r="J5" s="9" t="s">
        <v>27</v>
      </c>
      <c r="K5" s="7">
        <f>COUNTIFS(E:E,"Marketing")</f>
        <v>17</v>
      </c>
      <c r="L5" s="8"/>
    </row>
    <row r="6" spans="1:12" x14ac:dyDescent="0.3">
      <c r="A6" s="1" t="s">
        <v>39</v>
      </c>
      <c r="B6" s="3">
        <v>904603</v>
      </c>
      <c r="C6" s="2">
        <v>31822</v>
      </c>
      <c r="D6" s="4">
        <f t="shared" ca="1" si="0"/>
        <v>39</v>
      </c>
      <c r="E6" s="1" t="s">
        <v>29</v>
      </c>
      <c r="F6" s="5">
        <v>8500</v>
      </c>
      <c r="G6" s="1" t="s">
        <v>6</v>
      </c>
      <c r="H6" s="8"/>
      <c r="I6" s="8"/>
      <c r="J6" s="9" t="s">
        <v>30</v>
      </c>
      <c r="K6" s="7">
        <f>COUNTIFS(E:E,"Administrativo")</f>
        <v>19</v>
      </c>
      <c r="L6" s="8"/>
    </row>
    <row r="7" spans="1:12" x14ac:dyDescent="0.3">
      <c r="A7" s="1" t="s">
        <v>40</v>
      </c>
      <c r="B7" s="3">
        <v>654321</v>
      </c>
      <c r="C7" s="2">
        <v>30702</v>
      </c>
      <c r="D7" s="4">
        <f t="shared" ca="1" si="0"/>
        <v>42</v>
      </c>
      <c r="E7" s="1" t="s">
        <v>30</v>
      </c>
      <c r="F7" s="5">
        <v>6400</v>
      </c>
      <c r="G7" s="1" t="s">
        <v>9</v>
      </c>
      <c r="H7" s="8"/>
      <c r="I7" s="8"/>
      <c r="J7" s="9" t="s">
        <v>31</v>
      </c>
      <c r="K7" s="7">
        <f>COUNTIFS(E:E,"Financeiro")</f>
        <v>18</v>
      </c>
      <c r="L7" s="8"/>
    </row>
    <row r="8" spans="1:12" x14ac:dyDescent="0.3">
      <c r="A8" s="1" t="s">
        <v>41</v>
      </c>
      <c r="B8" s="3">
        <v>924115</v>
      </c>
      <c r="C8" s="2">
        <v>31348</v>
      </c>
      <c r="D8" s="4">
        <f t="shared" ca="1" si="0"/>
        <v>40</v>
      </c>
      <c r="E8" s="1" t="s">
        <v>28</v>
      </c>
      <c r="F8" s="5">
        <v>6200</v>
      </c>
      <c r="G8" s="1" t="s">
        <v>10</v>
      </c>
      <c r="H8" s="8"/>
      <c r="I8" s="8"/>
      <c r="J8" s="9" t="s">
        <v>32</v>
      </c>
      <c r="K8" s="7">
        <f>COUNTIFS(E:E,"Gestão")</f>
        <v>10</v>
      </c>
      <c r="L8" s="8"/>
    </row>
    <row r="9" spans="1:12" x14ac:dyDescent="0.3">
      <c r="A9" s="1" t="s">
        <v>42</v>
      </c>
      <c r="B9" s="3">
        <v>331803</v>
      </c>
      <c r="C9" s="2">
        <v>27877</v>
      </c>
      <c r="D9" s="4">
        <f t="shared" ca="1" si="0"/>
        <v>50</v>
      </c>
      <c r="E9" s="1" t="s">
        <v>29</v>
      </c>
      <c r="F9" s="5">
        <v>5200</v>
      </c>
      <c r="G9" s="1" t="s">
        <v>11</v>
      </c>
      <c r="H9" s="8"/>
      <c r="I9" s="8"/>
      <c r="J9" s="9" t="s">
        <v>33</v>
      </c>
      <c r="K9" s="7">
        <f>COUNTIFS(E:E,"Produção")</f>
        <v>2</v>
      </c>
      <c r="L9" s="8"/>
    </row>
    <row r="10" spans="1:12" x14ac:dyDescent="0.3">
      <c r="A10" s="1" t="s">
        <v>43</v>
      </c>
      <c r="B10" s="3">
        <v>132516</v>
      </c>
      <c r="C10" s="2">
        <v>27579</v>
      </c>
      <c r="D10" s="4">
        <f t="shared" ca="1" si="0"/>
        <v>50</v>
      </c>
      <c r="E10" s="1" t="s">
        <v>30</v>
      </c>
      <c r="F10" s="5">
        <v>11300</v>
      </c>
      <c r="G10" s="1" t="s">
        <v>12</v>
      </c>
      <c r="H10" s="8"/>
      <c r="I10" s="8"/>
      <c r="J10" s="8"/>
      <c r="K10" s="8"/>
      <c r="L10" s="8"/>
    </row>
    <row r="11" spans="1:12" x14ac:dyDescent="0.3">
      <c r="A11" s="1" t="s">
        <v>44</v>
      </c>
      <c r="B11" s="3">
        <v>546209</v>
      </c>
      <c r="C11" s="2">
        <v>30514</v>
      </c>
      <c r="D11" s="4">
        <f t="shared" ca="1" si="0"/>
        <v>42</v>
      </c>
      <c r="E11" s="1" t="s">
        <v>31</v>
      </c>
      <c r="F11" s="5">
        <v>14900</v>
      </c>
      <c r="G11" s="1" t="s">
        <v>6</v>
      </c>
      <c r="H11" s="8"/>
      <c r="I11" s="8"/>
      <c r="J11" s="16" t="s">
        <v>2</v>
      </c>
      <c r="K11" s="10" t="s">
        <v>27</v>
      </c>
      <c r="L11" s="8"/>
    </row>
    <row r="12" spans="1:12" x14ac:dyDescent="0.3">
      <c r="A12" s="1" t="s">
        <v>45</v>
      </c>
      <c r="B12" s="3">
        <v>837859</v>
      </c>
      <c r="C12" s="2">
        <v>35331</v>
      </c>
      <c r="D12" s="4">
        <f t="shared" ca="1" si="0"/>
        <v>29</v>
      </c>
      <c r="E12" s="1" t="s">
        <v>27</v>
      </c>
      <c r="F12" s="5">
        <v>11800</v>
      </c>
      <c r="G12" s="1" t="s">
        <v>13</v>
      </c>
      <c r="H12" s="8"/>
      <c r="I12" s="8"/>
      <c r="J12" s="16" t="s">
        <v>4</v>
      </c>
      <c r="K12" s="10" t="s">
        <v>6</v>
      </c>
      <c r="L12" s="8"/>
    </row>
    <row r="13" spans="1:12" x14ac:dyDescent="0.3">
      <c r="A13" s="1" t="s">
        <v>46</v>
      </c>
      <c r="B13" s="3">
        <v>706517</v>
      </c>
      <c r="C13" s="2">
        <v>26809</v>
      </c>
      <c r="D13" s="4">
        <f t="shared" ca="1" si="0"/>
        <v>53</v>
      </c>
      <c r="E13" s="1" t="s">
        <v>30</v>
      </c>
      <c r="F13" s="5">
        <v>11200</v>
      </c>
      <c r="G13" s="1" t="s">
        <v>5</v>
      </c>
      <c r="H13" s="8"/>
      <c r="I13" s="8"/>
      <c r="J13" s="9" t="s">
        <v>134</v>
      </c>
      <c r="K13" s="7">
        <f>COUNTIFS(E:E,"Marketing",G:G,"Rio de Janeiro")</f>
        <v>5</v>
      </c>
      <c r="L13" s="8"/>
    </row>
    <row r="14" spans="1:12" x14ac:dyDescent="0.3">
      <c r="A14" s="1" t="s">
        <v>47</v>
      </c>
      <c r="B14" s="3">
        <v>448932</v>
      </c>
      <c r="C14" s="2">
        <v>34917</v>
      </c>
      <c r="D14" s="4">
        <f t="shared" ca="1" si="0"/>
        <v>30</v>
      </c>
      <c r="E14" s="1" t="s">
        <v>32</v>
      </c>
      <c r="F14" s="5">
        <v>8300</v>
      </c>
      <c r="G14" s="1" t="s">
        <v>14</v>
      </c>
      <c r="H14" s="8"/>
      <c r="I14" s="8"/>
      <c r="J14" s="8"/>
      <c r="K14" s="8"/>
      <c r="L14" s="8"/>
    </row>
    <row r="15" spans="1:12" x14ac:dyDescent="0.3">
      <c r="A15" s="1" t="s">
        <v>48</v>
      </c>
      <c r="B15" s="3">
        <v>256741</v>
      </c>
      <c r="C15" s="2">
        <v>25593</v>
      </c>
      <c r="D15" s="4">
        <f t="shared" ca="1" si="0"/>
        <v>56</v>
      </c>
      <c r="E15" s="1" t="s">
        <v>32</v>
      </c>
      <c r="F15" s="5">
        <v>13100</v>
      </c>
      <c r="G15" s="1" t="s">
        <v>15</v>
      </c>
      <c r="H15" s="8"/>
      <c r="I15" s="8"/>
      <c r="J15" s="8"/>
      <c r="K15" s="8"/>
      <c r="L15" s="8"/>
    </row>
    <row r="16" spans="1:12" x14ac:dyDescent="0.3">
      <c r="A16" s="1" t="s">
        <v>49</v>
      </c>
      <c r="B16" s="3">
        <v>807613</v>
      </c>
      <c r="C16" s="2">
        <v>26445</v>
      </c>
      <c r="D16" s="4">
        <f t="shared" ca="1" si="0"/>
        <v>54</v>
      </c>
      <c r="E16" s="1" t="s">
        <v>30</v>
      </c>
      <c r="F16" s="5">
        <v>10400</v>
      </c>
      <c r="G16" s="1" t="s">
        <v>5</v>
      </c>
      <c r="H16" s="8"/>
      <c r="I16" s="8"/>
      <c r="J16" s="8"/>
      <c r="K16" s="8"/>
      <c r="L16" s="8"/>
    </row>
    <row r="17" spans="1:12" x14ac:dyDescent="0.3">
      <c r="A17" s="1" t="s">
        <v>50</v>
      </c>
      <c r="B17" s="3">
        <v>158744</v>
      </c>
      <c r="C17" s="2">
        <v>25519</v>
      </c>
      <c r="D17" s="4">
        <f t="shared" ca="1" si="0"/>
        <v>56</v>
      </c>
      <c r="E17" s="1" t="s">
        <v>28</v>
      </c>
      <c r="F17" s="5">
        <v>9300</v>
      </c>
      <c r="G17" s="1" t="s">
        <v>16</v>
      </c>
      <c r="H17" s="8"/>
      <c r="I17" s="8"/>
      <c r="J17" s="8"/>
      <c r="K17" s="8"/>
      <c r="L17" s="8"/>
    </row>
    <row r="18" spans="1:12" x14ac:dyDescent="0.3">
      <c r="A18" s="1" t="s">
        <v>51</v>
      </c>
      <c r="B18" s="3">
        <v>915827</v>
      </c>
      <c r="C18" s="2">
        <v>32357</v>
      </c>
      <c r="D18" s="4">
        <f t="shared" ca="1" si="0"/>
        <v>37</v>
      </c>
      <c r="E18" s="1" t="s">
        <v>28</v>
      </c>
      <c r="F18" s="5">
        <v>11700</v>
      </c>
      <c r="G18" s="1" t="s">
        <v>17</v>
      </c>
    </row>
    <row r="19" spans="1:12" x14ac:dyDescent="0.3">
      <c r="A19" s="1" t="s">
        <v>52</v>
      </c>
      <c r="B19" s="3">
        <v>458448</v>
      </c>
      <c r="C19" s="2">
        <v>28561</v>
      </c>
      <c r="D19" s="4">
        <f t="shared" ca="1" si="0"/>
        <v>48</v>
      </c>
      <c r="E19" s="1" t="s">
        <v>27</v>
      </c>
      <c r="F19" s="5">
        <v>9300</v>
      </c>
      <c r="G19" s="1" t="s">
        <v>18</v>
      </c>
    </row>
    <row r="20" spans="1:12" x14ac:dyDescent="0.3">
      <c r="A20" s="1" t="s">
        <v>53</v>
      </c>
      <c r="B20" s="3">
        <v>156934</v>
      </c>
      <c r="C20" s="2">
        <v>32416</v>
      </c>
      <c r="D20" s="4">
        <f t="shared" ca="1" si="0"/>
        <v>37</v>
      </c>
      <c r="E20" s="1" t="s">
        <v>27</v>
      </c>
      <c r="F20" s="5">
        <v>10900</v>
      </c>
      <c r="G20" s="1" t="s">
        <v>19</v>
      </c>
    </row>
    <row r="21" spans="1:12" x14ac:dyDescent="0.3">
      <c r="A21" s="1" t="s">
        <v>54</v>
      </c>
      <c r="B21" s="3">
        <v>201549</v>
      </c>
      <c r="C21" s="2">
        <v>28292</v>
      </c>
      <c r="D21" s="4">
        <f t="shared" ca="1" si="0"/>
        <v>48</v>
      </c>
      <c r="E21" s="1" t="s">
        <v>31</v>
      </c>
      <c r="F21" s="5">
        <v>7100</v>
      </c>
      <c r="G21" s="1" t="s">
        <v>9</v>
      </c>
    </row>
    <row r="22" spans="1:12" x14ac:dyDescent="0.3">
      <c r="A22" s="1" t="s">
        <v>55</v>
      </c>
      <c r="B22" s="3">
        <v>852204</v>
      </c>
      <c r="C22" s="2">
        <v>29769</v>
      </c>
      <c r="D22" s="4">
        <f t="shared" ca="1" si="0"/>
        <v>44</v>
      </c>
      <c r="E22" s="1" t="s">
        <v>31</v>
      </c>
      <c r="F22" s="5">
        <v>4300</v>
      </c>
      <c r="G22" s="1" t="s">
        <v>6</v>
      </c>
    </row>
    <row r="23" spans="1:12" x14ac:dyDescent="0.3">
      <c r="A23" s="1" t="s">
        <v>56</v>
      </c>
      <c r="B23" s="3">
        <v>414836</v>
      </c>
      <c r="C23" s="2">
        <v>27848</v>
      </c>
      <c r="D23" s="4">
        <f t="shared" ca="1" si="0"/>
        <v>50</v>
      </c>
      <c r="E23" s="1" t="s">
        <v>30</v>
      </c>
      <c r="F23" s="5">
        <v>3700</v>
      </c>
      <c r="G23" s="1" t="s">
        <v>7</v>
      </c>
    </row>
    <row r="24" spans="1:12" x14ac:dyDescent="0.3">
      <c r="A24" s="1" t="s">
        <v>57</v>
      </c>
      <c r="B24" s="3">
        <v>341846</v>
      </c>
      <c r="C24" s="2">
        <v>31810</v>
      </c>
      <c r="D24" s="4">
        <f t="shared" ca="1" si="0"/>
        <v>39</v>
      </c>
      <c r="E24" s="1" t="s">
        <v>31</v>
      </c>
      <c r="F24" s="5">
        <v>5700</v>
      </c>
      <c r="G24" s="1" t="s">
        <v>20</v>
      </c>
    </row>
    <row r="25" spans="1:12" x14ac:dyDescent="0.3">
      <c r="A25" s="1" t="s">
        <v>58</v>
      </c>
      <c r="B25" s="3">
        <v>147632</v>
      </c>
      <c r="C25" s="2">
        <v>30187</v>
      </c>
      <c r="D25" s="4">
        <f t="shared" ca="1" si="0"/>
        <v>43</v>
      </c>
      <c r="E25" s="1" t="s">
        <v>30</v>
      </c>
      <c r="F25" s="5">
        <v>8300</v>
      </c>
      <c r="G25" s="1" t="s">
        <v>21</v>
      </c>
    </row>
    <row r="26" spans="1:12" x14ac:dyDescent="0.3">
      <c r="A26" s="1" t="s">
        <v>59</v>
      </c>
      <c r="B26" s="3">
        <v>652941</v>
      </c>
      <c r="C26" s="2">
        <v>35984</v>
      </c>
      <c r="D26" s="4">
        <f t="shared" ca="1" si="0"/>
        <v>27</v>
      </c>
      <c r="E26" s="1" t="s">
        <v>29</v>
      </c>
      <c r="F26" s="5">
        <v>9300</v>
      </c>
      <c r="G26" s="1" t="s">
        <v>18</v>
      </c>
    </row>
    <row r="27" spans="1:12" x14ac:dyDescent="0.3">
      <c r="A27" s="1" t="s">
        <v>60</v>
      </c>
      <c r="B27" s="3">
        <v>444733</v>
      </c>
      <c r="C27" s="2">
        <v>28689</v>
      </c>
      <c r="D27" s="4">
        <f t="shared" ca="1" si="0"/>
        <v>47</v>
      </c>
      <c r="E27" s="1" t="s">
        <v>29</v>
      </c>
      <c r="F27" s="5">
        <v>9200</v>
      </c>
      <c r="G27" s="1" t="s">
        <v>22</v>
      </c>
    </row>
    <row r="28" spans="1:12" x14ac:dyDescent="0.3">
      <c r="A28" s="1" t="s">
        <v>61</v>
      </c>
      <c r="B28" s="3">
        <v>842823</v>
      </c>
      <c r="C28" s="2">
        <v>35335</v>
      </c>
      <c r="D28" s="4">
        <f t="shared" ca="1" si="0"/>
        <v>29</v>
      </c>
      <c r="E28" s="1" t="s">
        <v>32</v>
      </c>
      <c r="F28" s="5">
        <v>8100</v>
      </c>
      <c r="G28" s="1" t="s">
        <v>23</v>
      </c>
    </row>
    <row r="29" spans="1:12" x14ac:dyDescent="0.3">
      <c r="A29" s="1" t="s">
        <v>62</v>
      </c>
      <c r="B29" s="3">
        <v>842225</v>
      </c>
      <c r="C29" s="2">
        <v>35815</v>
      </c>
      <c r="D29" s="4">
        <f t="shared" ca="1" si="0"/>
        <v>28</v>
      </c>
      <c r="E29" s="1" t="s">
        <v>29</v>
      </c>
      <c r="F29" s="5">
        <v>7000</v>
      </c>
      <c r="G29" s="1" t="s">
        <v>21</v>
      </c>
    </row>
    <row r="30" spans="1:12" x14ac:dyDescent="0.3">
      <c r="A30" s="1" t="s">
        <v>63</v>
      </c>
      <c r="B30" s="3">
        <v>953425</v>
      </c>
      <c r="C30" s="2">
        <v>36690</v>
      </c>
      <c r="D30" s="4">
        <f t="shared" ca="1" si="0"/>
        <v>25</v>
      </c>
      <c r="E30" s="1" t="s">
        <v>29</v>
      </c>
      <c r="F30" s="5">
        <v>9700</v>
      </c>
      <c r="G30" s="1" t="s">
        <v>6</v>
      </c>
    </row>
    <row r="31" spans="1:12" x14ac:dyDescent="0.3">
      <c r="A31" s="1" t="s">
        <v>64</v>
      </c>
      <c r="B31" s="3">
        <v>416421</v>
      </c>
      <c r="C31" s="2">
        <v>25119</v>
      </c>
      <c r="D31" s="4">
        <f t="shared" ca="1" si="0"/>
        <v>57</v>
      </c>
      <c r="E31" s="1" t="s">
        <v>27</v>
      </c>
      <c r="F31" s="5">
        <v>5400</v>
      </c>
      <c r="G31" s="1" t="s">
        <v>5</v>
      </c>
    </row>
    <row r="32" spans="1:12" x14ac:dyDescent="0.3">
      <c r="A32" s="1" t="s">
        <v>65</v>
      </c>
      <c r="B32" s="3">
        <v>622521</v>
      </c>
      <c r="C32" s="2">
        <v>30022</v>
      </c>
      <c r="D32" s="4">
        <f t="shared" ca="1" si="0"/>
        <v>44</v>
      </c>
      <c r="E32" s="1" t="s">
        <v>31</v>
      </c>
      <c r="F32" s="5">
        <v>6200</v>
      </c>
      <c r="G32" s="1" t="s">
        <v>14</v>
      </c>
    </row>
    <row r="33" spans="1:7" x14ac:dyDescent="0.3">
      <c r="A33" s="1" t="s">
        <v>66</v>
      </c>
      <c r="B33" s="3">
        <v>347738</v>
      </c>
      <c r="C33" s="2">
        <v>28156</v>
      </c>
      <c r="D33" s="4">
        <f t="shared" ca="1" si="0"/>
        <v>49</v>
      </c>
      <c r="E33" s="1" t="s">
        <v>33</v>
      </c>
      <c r="F33" s="5">
        <v>6800</v>
      </c>
      <c r="G33" s="1" t="s">
        <v>24</v>
      </c>
    </row>
    <row r="34" spans="1:7" x14ac:dyDescent="0.3">
      <c r="A34" s="1" t="s">
        <v>67</v>
      </c>
      <c r="B34" s="3">
        <v>705651</v>
      </c>
      <c r="C34" s="2">
        <v>25158</v>
      </c>
      <c r="D34" s="4">
        <f t="shared" ca="1" si="0"/>
        <v>57</v>
      </c>
      <c r="E34" s="1" t="s">
        <v>27</v>
      </c>
      <c r="F34" s="5">
        <v>11800</v>
      </c>
      <c r="G34" s="1" t="s">
        <v>24</v>
      </c>
    </row>
    <row r="35" spans="1:7" x14ac:dyDescent="0.3">
      <c r="A35" s="1" t="s">
        <v>68</v>
      </c>
      <c r="B35" s="3">
        <v>223809</v>
      </c>
      <c r="C35" s="2">
        <v>27852</v>
      </c>
      <c r="D35" s="4">
        <f t="shared" ca="1" si="0"/>
        <v>50</v>
      </c>
      <c r="E35" s="1" t="s">
        <v>32</v>
      </c>
      <c r="F35" s="5">
        <v>4100</v>
      </c>
      <c r="G35" s="1" t="s">
        <v>16</v>
      </c>
    </row>
    <row r="36" spans="1:7" x14ac:dyDescent="0.3">
      <c r="A36" s="1" t="s">
        <v>69</v>
      </c>
      <c r="B36" s="3">
        <v>526714</v>
      </c>
      <c r="C36" s="2">
        <v>35962</v>
      </c>
      <c r="D36" s="4">
        <f t="shared" ca="1" si="0"/>
        <v>27</v>
      </c>
      <c r="E36" s="1" t="s">
        <v>29</v>
      </c>
      <c r="F36" s="5">
        <v>11200</v>
      </c>
      <c r="G36" s="1" t="s">
        <v>16</v>
      </c>
    </row>
    <row r="37" spans="1:7" x14ac:dyDescent="0.3">
      <c r="A37" s="1" t="s">
        <v>70</v>
      </c>
      <c r="B37" s="3">
        <v>202137</v>
      </c>
      <c r="C37" s="2">
        <v>29198</v>
      </c>
      <c r="D37" s="4">
        <f t="shared" ca="1" si="0"/>
        <v>46</v>
      </c>
      <c r="E37" s="1" t="s">
        <v>29</v>
      </c>
      <c r="F37" s="5">
        <v>13500</v>
      </c>
      <c r="G37" s="1" t="s">
        <v>5</v>
      </c>
    </row>
    <row r="38" spans="1:7" x14ac:dyDescent="0.3">
      <c r="A38" s="1" t="s">
        <v>71</v>
      </c>
      <c r="B38" s="3">
        <v>621421</v>
      </c>
      <c r="C38" s="2">
        <v>34262</v>
      </c>
      <c r="D38" s="4">
        <f t="shared" ca="1" si="0"/>
        <v>32</v>
      </c>
      <c r="E38" s="1" t="s">
        <v>31</v>
      </c>
      <c r="F38" s="5">
        <v>12800</v>
      </c>
      <c r="G38" s="1" t="s">
        <v>7</v>
      </c>
    </row>
    <row r="39" spans="1:7" x14ac:dyDescent="0.3">
      <c r="A39" s="1" t="s">
        <v>72</v>
      </c>
      <c r="B39" s="3">
        <v>632433</v>
      </c>
      <c r="C39" s="2">
        <v>28529</v>
      </c>
      <c r="D39" s="4">
        <f t="shared" ca="1" si="0"/>
        <v>48</v>
      </c>
      <c r="E39" s="1" t="s">
        <v>31</v>
      </c>
      <c r="F39" s="5">
        <v>3800</v>
      </c>
      <c r="G39" s="1" t="s">
        <v>25</v>
      </c>
    </row>
    <row r="40" spans="1:7" x14ac:dyDescent="0.3">
      <c r="A40" s="1" t="s">
        <v>73</v>
      </c>
      <c r="B40" s="3">
        <v>915741</v>
      </c>
      <c r="C40" s="2">
        <v>28571</v>
      </c>
      <c r="D40" s="4">
        <f t="shared" ca="1" si="0"/>
        <v>48</v>
      </c>
      <c r="E40" s="1" t="s">
        <v>27</v>
      </c>
      <c r="F40" s="5">
        <v>12000</v>
      </c>
      <c r="G40" s="1" t="s">
        <v>5</v>
      </c>
    </row>
    <row r="41" spans="1:7" x14ac:dyDescent="0.3">
      <c r="A41" s="1" t="s">
        <v>74</v>
      </c>
      <c r="B41" s="3">
        <v>122141</v>
      </c>
      <c r="C41" s="2">
        <v>32378</v>
      </c>
      <c r="D41" s="4">
        <f t="shared" ca="1" si="0"/>
        <v>37</v>
      </c>
      <c r="E41" s="1" t="s">
        <v>27</v>
      </c>
      <c r="F41" s="5">
        <v>11500</v>
      </c>
      <c r="G41" s="1" t="s">
        <v>6</v>
      </c>
    </row>
    <row r="42" spans="1:7" x14ac:dyDescent="0.3">
      <c r="A42" s="1" t="s">
        <v>75</v>
      </c>
      <c r="B42" s="3">
        <v>854624</v>
      </c>
      <c r="C42" s="2">
        <v>25884</v>
      </c>
      <c r="D42" s="4">
        <f t="shared" ca="1" si="0"/>
        <v>55</v>
      </c>
      <c r="E42" s="1" t="s">
        <v>27</v>
      </c>
      <c r="F42" s="5">
        <v>5700</v>
      </c>
      <c r="G42" s="1" t="s">
        <v>25</v>
      </c>
    </row>
    <row r="43" spans="1:7" x14ac:dyDescent="0.3">
      <c r="A43" s="1" t="s">
        <v>76</v>
      </c>
      <c r="B43" s="3">
        <v>228743</v>
      </c>
      <c r="C43" s="2">
        <v>32776</v>
      </c>
      <c r="D43" s="4">
        <f t="shared" ca="1" si="0"/>
        <v>36</v>
      </c>
      <c r="E43" s="1" t="s">
        <v>30</v>
      </c>
      <c r="F43" s="5">
        <v>4300</v>
      </c>
      <c r="G43" s="1" t="s">
        <v>12</v>
      </c>
    </row>
    <row r="44" spans="1:7" x14ac:dyDescent="0.3">
      <c r="A44" s="1" t="s">
        <v>77</v>
      </c>
      <c r="B44" s="3">
        <v>139404</v>
      </c>
      <c r="C44" s="2">
        <v>33048</v>
      </c>
      <c r="D44" s="4">
        <f t="shared" ca="1" si="0"/>
        <v>35</v>
      </c>
      <c r="E44" s="1" t="s">
        <v>30</v>
      </c>
      <c r="F44" s="5">
        <v>8300</v>
      </c>
      <c r="G44" s="1" t="s">
        <v>11</v>
      </c>
    </row>
    <row r="45" spans="1:7" x14ac:dyDescent="0.3">
      <c r="A45" s="1" t="s">
        <v>78</v>
      </c>
      <c r="B45" s="3">
        <v>913853</v>
      </c>
      <c r="C45" s="2">
        <v>33234</v>
      </c>
      <c r="D45" s="4">
        <f t="shared" ca="1" si="0"/>
        <v>35</v>
      </c>
      <c r="E45" s="1" t="s">
        <v>27</v>
      </c>
      <c r="F45" s="5">
        <v>9400</v>
      </c>
      <c r="G45" s="1" t="s">
        <v>6</v>
      </c>
    </row>
    <row r="46" spans="1:7" x14ac:dyDescent="0.3">
      <c r="A46" s="1" t="s">
        <v>79</v>
      </c>
      <c r="B46" s="3">
        <v>429239</v>
      </c>
      <c r="C46" s="2">
        <v>36216</v>
      </c>
      <c r="D46" s="4">
        <f t="shared" ca="1" si="0"/>
        <v>27</v>
      </c>
      <c r="E46" s="1" t="s">
        <v>32</v>
      </c>
      <c r="F46" s="5">
        <v>14900</v>
      </c>
      <c r="G46" s="1" t="s">
        <v>13</v>
      </c>
    </row>
    <row r="47" spans="1:7" x14ac:dyDescent="0.3">
      <c r="A47" s="1" t="s">
        <v>80</v>
      </c>
      <c r="B47" s="3">
        <v>904945</v>
      </c>
      <c r="C47" s="2">
        <v>30553</v>
      </c>
      <c r="D47" s="4">
        <f t="shared" ca="1" si="0"/>
        <v>42</v>
      </c>
      <c r="E47" s="1" t="s">
        <v>29</v>
      </c>
      <c r="F47" s="5">
        <v>5000</v>
      </c>
      <c r="G47" s="1" t="s">
        <v>26</v>
      </c>
    </row>
    <row r="48" spans="1:7" x14ac:dyDescent="0.3">
      <c r="A48" s="1" t="s">
        <v>81</v>
      </c>
      <c r="B48" s="3">
        <v>139606</v>
      </c>
      <c r="C48" s="2">
        <v>32852</v>
      </c>
      <c r="D48" s="4">
        <f t="shared" ca="1" si="0"/>
        <v>36</v>
      </c>
      <c r="E48" s="1" t="s">
        <v>31</v>
      </c>
      <c r="F48" s="5">
        <v>12500</v>
      </c>
      <c r="G48" s="1" t="s">
        <v>6</v>
      </c>
    </row>
    <row r="49" spans="1:7" x14ac:dyDescent="0.3">
      <c r="A49" s="1" t="s">
        <v>82</v>
      </c>
      <c r="B49" s="3">
        <v>144311</v>
      </c>
      <c r="C49" s="2">
        <v>30002</v>
      </c>
      <c r="D49" s="4">
        <f t="shared" ca="1" si="0"/>
        <v>44</v>
      </c>
      <c r="E49" s="1" t="s">
        <v>31</v>
      </c>
      <c r="F49" s="5">
        <v>11700</v>
      </c>
      <c r="G49" s="1" t="s">
        <v>5</v>
      </c>
    </row>
    <row r="50" spans="1:7" x14ac:dyDescent="0.3">
      <c r="A50" s="1" t="s">
        <v>83</v>
      </c>
      <c r="B50" s="3">
        <v>237645</v>
      </c>
      <c r="C50" s="2">
        <v>28510</v>
      </c>
      <c r="D50" s="4">
        <f t="shared" ca="1" si="0"/>
        <v>48</v>
      </c>
      <c r="E50" s="1" t="s">
        <v>29</v>
      </c>
      <c r="F50" s="5">
        <v>11000</v>
      </c>
      <c r="G50" s="1" t="s">
        <v>18</v>
      </c>
    </row>
    <row r="51" spans="1:7" x14ac:dyDescent="0.3">
      <c r="A51" s="1" t="s">
        <v>84</v>
      </c>
      <c r="B51" s="3">
        <v>342109</v>
      </c>
      <c r="C51" s="2">
        <v>31857</v>
      </c>
      <c r="D51" s="4">
        <f t="shared" ca="1" si="0"/>
        <v>39</v>
      </c>
      <c r="E51" s="1" t="s">
        <v>27</v>
      </c>
      <c r="F51" s="5">
        <v>5200</v>
      </c>
      <c r="G51" s="1" t="s">
        <v>22</v>
      </c>
    </row>
    <row r="52" spans="1:7" x14ac:dyDescent="0.3">
      <c r="A52" s="1" t="s">
        <v>85</v>
      </c>
      <c r="B52" s="3">
        <v>653908</v>
      </c>
      <c r="C52" s="2">
        <v>35956</v>
      </c>
      <c r="D52" s="4">
        <f t="shared" ca="1" si="0"/>
        <v>28</v>
      </c>
      <c r="E52" s="1" t="s">
        <v>27</v>
      </c>
      <c r="F52" s="5">
        <v>14400</v>
      </c>
      <c r="G52" s="1" t="s">
        <v>24</v>
      </c>
    </row>
    <row r="53" spans="1:7" x14ac:dyDescent="0.3">
      <c r="A53" s="1" t="s">
        <v>86</v>
      </c>
      <c r="B53" s="3">
        <v>453149</v>
      </c>
      <c r="C53" s="2">
        <v>35550</v>
      </c>
      <c r="D53" s="4">
        <f t="shared" ca="1" si="0"/>
        <v>29</v>
      </c>
      <c r="E53" s="1" t="s">
        <v>32</v>
      </c>
      <c r="F53" s="5">
        <v>5000</v>
      </c>
      <c r="G53" s="1" t="s">
        <v>23</v>
      </c>
    </row>
    <row r="54" spans="1:7" x14ac:dyDescent="0.3">
      <c r="A54" s="1" t="s">
        <v>87</v>
      </c>
      <c r="B54" s="3">
        <v>939824</v>
      </c>
      <c r="C54" s="2">
        <v>29167</v>
      </c>
      <c r="D54" s="4">
        <f t="shared" ca="1" si="0"/>
        <v>46</v>
      </c>
      <c r="E54" s="1" t="s">
        <v>28</v>
      </c>
      <c r="F54" s="5">
        <v>13600</v>
      </c>
      <c r="G54" s="1" t="s">
        <v>6</v>
      </c>
    </row>
    <row r="55" spans="1:7" x14ac:dyDescent="0.3">
      <c r="A55" s="1" t="s">
        <v>88</v>
      </c>
      <c r="B55" s="3">
        <v>858413</v>
      </c>
      <c r="C55" s="2">
        <v>27409</v>
      </c>
      <c r="D55" s="4">
        <f t="shared" ca="1" si="0"/>
        <v>51</v>
      </c>
      <c r="E55" s="1" t="s">
        <v>30</v>
      </c>
      <c r="F55" s="5">
        <v>9400</v>
      </c>
      <c r="G55" s="1" t="s">
        <v>12</v>
      </c>
    </row>
    <row r="56" spans="1:7" x14ac:dyDescent="0.3">
      <c r="A56" s="1" t="s">
        <v>89</v>
      </c>
      <c r="B56" s="3">
        <v>533955</v>
      </c>
      <c r="C56" s="2">
        <v>30261</v>
      </c>
      <c r="D56" s="4">
        <f t="shared" ca="1" si="0"/>
        <v>43</v>
      </c>
      <c r="E56" s="1" t="s">
        <v>33</v>
      </c>
      <c r="F56" s="5">
        <v>10000</v>
      </c>
      <c r="G56" s="1" t="s">
        <v>10</v>
      </c>
    </row>
    <row r="57" spans="1:7" x14ac:dyDescent="0.3">
      <c r="A57" s="1" t="s">
        <v>90</v>
      </c>
      <c r="B57" s="3">
        <v>815434</v>
      </c>
      <c r="C57" s="2">
        <v>31836</v>
      </c>
      <c r="D57" s="4">
        <f t="shared" ca="1" si="0"/>
        <v>39</v>
      </c>
      <c r="E57" s="1" t="s">
        <v>29</v>
      </c>
      <c r="F57" s="5">
        <v>9600</v>
      </c>
      <c r="G57" s="1" t="s">
        <v>25</v>
      </c>
    </row>
    <row r="58" spans="1:7" x14ac:dyDescent="0.3">
      <c r="A58" s="1" t="s">
        <v>91</v>
      </c>
      <c r="B58" s="3">
        <v>724401</v>
      </c>
      <c r="C58" s="2">
        <v>34712</v>
      </c>
      <c r="D58" s="4">
        <f t="shared" ca="1" si="0"/>
        <v>31</v>
      </c>
      <c r="E58" s="1" t="s">
        <v>30</v>
      </c>
      <c r="F58" s="5">
        <v>7000</v>
      </c>
      <c r="G58" s="1" t="s">
        <v>19</v>
      </c>
    </row>
    <row r="59" spans="1:7" x14ac:dyDescent="0.3">
      <c r="A59" s="1" t="s">
        <v>92</v>
      </c>
      <c r="B59" s="3">
        <v>255134</v>
      </c>
      <c r="C59" s="2">
        <v>28120</v>
      </c>
      <c r="D59" s="4">
        <f t="shared" ca="1" si="0"/>
        <v>49</v>
      </c>
      <c r="E59" s="1" t="s">
        <v>31</v>
      </c>
      <c r="F59" s="5">
        <v>4000</v>
      </c>
      <c r="G59" s="1" t="s">
        <v>20</v>
      </c>
    </row>
    <row r="60" spans="1:7" x14ac:dyDescent="0.3">
      <c r="A60" s="1" t="s">
        <v>93</v>
      </c>
      <c r="B60" s="3">
        <v>903948</v>
      </c>
      <c r="C60" s="2">
        <v>25672</v>
      </c>
      <c r="D60" s="4">
        <f t="shared" ca="1" si="0"/>
        <v>56</v>
      </c>
      <c r="E60" s="1" t="s">
        <v>28</v>
      </c>
      <c r="F60" s="5">
        <v>9500</v>
      </c>
      <c r="G60" s="1" t="s">
        <v>26</v>
      </c>
    </row>
    <row r="61" spans="1:7" x14ac:dyDescent="0.3">
      <c r="A61" s="1" t="s">
        <v>94</v>
      </c>
      <c r="B61" s="3">
        <v>843736</v>
      </c>
      <c r="C61" s="2">
        <v>32925</v>
      </c>
      <c r="D61" s="4">
        <f t="shared" ca="1" si="0"/>
        <v>36</v>
      </c>
      <c r="E61" s="1" t="s">
        <v>31</v>
      </c>
      <c r="F61" s="5">
        <v>14300</v>
      </c>
      <c r="G61" s="1" t="s">
        <v>13</v>
      </c>
    </row>
    <row r="62" spans="1:7" x14ac:dyDescent="0.3">
      <c r="A62" s="1" t="s">
        <v>95</v>
      </c>
      <c r="B62" s="3">
        <v>733756</v>
      </c>
      <c r="C62" s="2">
        <v>26242</v>
      </c>
      <c r="D62" s="4">
        <f t="shared" ca="1" si="0"/>
        <v>54</v>
      </c>
      <c r="E62" s="1" t="s">
        <v>29</v>
      </c>
      <c r="F62" s="5">
        <v>11900</v>
      </c>
      <c r="G62" s="1" t="s">
        <v>6</v>
      </c>
    </row>
    <row r="63" spans="1:7" x14ac:dyDescent="0.3">
      <c r="A63" s="1" t="s">
        <v>96</v>
      </c>
      <c r="B63" s="3">
        <v>821142</v>
      </c>
      <c r="C63" s="2">
        <v>29713</v>
      </c>
      <c r="D63" s="4">
        <f t="shared" ca="1" si="0"/>
        <v>45</v>
      </c>
      <c r="E63" s="1" t="s">
        <v>31</v>
      </c>
      <c r="F63" s="5">
        <v>5800</v>
      </c>
      <c r="G63" s="1" t="s">
        <v>21</v>
      </c>
    </row>
    <row r="64" spans="1:7" x14ac:dyDescent="0.3">
      <c r="A64" s="1" t="s">
        <v>97</v>
      </c>
      <c r="B64" s="3">
        <v>844321</v>
      </c>
      <c r="C64" s="2">
        <v>24895</v>
      </c>
      <c r="D64" s="4">
        <f t="shared" ca="1" si="0"/>
        <v>58</v>
      </c>
      <c r="E64" s="1" t="s">
        <v>30</v>
      </c>
      <c r="F64" s="5">
        <v>7000</v>
      </c>
      <c r="G64" s="1" t="s">
        <v>20</v>
      </c>
    </row>
    <row r="65" spans="1:7" x14ac:dyDescent="0.3">
      <c r="A65" s="1" t="s">
        <v>98</v>
      </c>
      <c r="B65" s="3">
        <v>912346</v>
      </c>
      <c r="C65" s="2">
        <v>34395</v>
      </c>
      <c r="D65" s="4">
        <f t="shared" ca="1" si="0"/>
        <v>32</v>
      </c>
      <c r="E65" s="1" t="s">
        <v>28</v>
      </c>
      <c r="F65" s="5">
        <v>4700</v>
      </c>
      <c r="G65" s="1" t="s">
        <v>8</v>
      </c>
    </row>
    <row r="66" spans="1:7" x14ac:dyDescent="0.3">
      <c r="A66" s="1" t="s">
        <v>99</v>
      </c>
      <c r="B66" s="3">
        <v>539234</v>
      </c>
      <c r="C66" s="2">
        <v>30463</v>
      </c>
      <c r="D66" s="4">
        <f t="shared" ca="1" si="0"/>
        <v>43</v>
      </c>
      <c r="E66" s="1" t="s">
        <v>32</v>
      </c>
      <c r="F66" s="5">
        <v>13700</v>
      </c>
      <c r="G66" s="1" t="s">
        <v>6</v>
      </c>
    </row>
    <row r="67" spans="1:7" x14ac:dyDescent="0.3">
      <c r="A67" s="1" t="s">
        <v>100</v>
      </c>
      <c r="B67" s="3">
        <v>135947</v>
      </c>
      <c r="C67" s="2">
        <v>36034</v>
      </c>
      <c r="D67" s="4">
        <f t="shared" ref="D67:D98" ca="1" si="1">DATEDIF(C67,TODAY(),"Y")</f>
        <v>27</v>
      </c>
      <c r="E67" s="1" t="s">
        <v>28</v>
      </c>
      <c r="F67" s="5">
        <v>5600</v>
      </c>
      <c r="G67" s="1" t="s">
        <v>23</v>
      </c>
    </row>
    <row r="68" spans="1:7" x14ac:dyDescent="0.3">
      <c r="A68" s="1" t="s">
        <v>101</v>
      </c>
      <c r="B68" s="3">
        <v>356154</v>
      </c>
      <c r="C68" s="2">
        <v>33126</v>
      </c>
      <c r="D68" s="4">
        <f t="shared" ca="1" si="1"/>
        <v>35</v>
      </c>
      <c r="E68" s="1" t="s">
        <v>27</v>
      </c>
      <c r="F68" s="5">
        <v>13900</v>
      </c>
      <c r="G68" s="1" t="s">
        <v>6</v>
      </c>
    </row>
    <row r="69" spans="1:7" x14ac:dyDescent="0.3">
      <c r="A69" s="1" t="s">
        <v>102</v>
      </c>
      <c r="B69" s="3">
        <v>114803</v>
      </c>
      <c r="C69" s="2">
        <v>36292</v>
      </c>
      <c r="D69" s="4">
        <f t="shared" ca="1" si="1"/>
        <v>27</v>
      </c>
      <c r="E69" s="1" t="s">
        <v>31</v>
      </c>
      <c r="F69" s="5">
        <v>14500</v>
      </c>
      <c r="G69" s="1" t="s">
        <v>21</v>
      </c>
    </row>
    <row r="70" spans="1:7" x14ac:dyDescent="0.3">
      <c r="A70" s="1" t="s">
        <v>103</v>
      </c>
      <c r="B70" s="3">
        <v>342333</v>
      </c>
      <c r="C70" s="2">
        <v>36316</v>
      </c>
      <c r="D70" s="4">
        <f t="shared" ca="1" si="1"/>
        <v>27</v>
      </c>
      <c r="E70" s="1" t="s">
        <v>30</v>
      </c>
      <c r="F70" s="5">
        <v>10100</v>
      </c>
      <c r="G70" s="1" t="s">
        <v>25</v>
      </c>
    </row>
    <row r="71" spans="1:7" x14ac:dyDescent="0.3">
      <c r="A71" s="1" t="s">
        <v>104</v>
      </c>
      <c r="B71" s="3">
        <v>412347</v>
      </c>
      <c r="C71" s="2">
        <v>31231</v>
      </c>
      <c r="D71" s="4">
        <f t="shared" ca="1" si="1"/>
        <v>40</v>
      </c>
      <c r="E71" s="1" t="s">
        <v>32</v>
      </c>
      <c r="F71" s="5">
        <v>13900</v>
      </c>
      <c r="G71" s="1" t="s">
        <v>11</v>
      </c>
    </row>
    <row r="72" spans="1:7" x14ac:dyDescent="0.3">
      <c r="A72" s="1" t="s">
        <v>105</v>
      </c>
      <c r="B72" s="3">
        <v>234355</v>
      </c>
      <c r="C72" s="2">
        <v>33108</v>
      </c>
      <c r="D72" s="4">
        <f t="shared" ca="1" si="1"/>
        <v>35</v>
      </c>
      <c r="E72" s="1" t="s">
        <v>29</v>
      </c>
      <c r="F72" s="5">
        <v>5400</v>
      </c>
      <c r="G72" s="1" t="s">
        <v>17</v>
      </c>
    </row>
    <row r="73" spans="1:7" x14ac:dyDescent="0.3">
      <c r="A73" s="1" t="s">
        <v>106</v>
      </c>
      <c r="B73" s="3">
        <v>658843</v>
      </c>
      <c r="C73" s="2">
        <v>26390</v>
      </c>
      <c r="D73" s="4">
        <f t="shared" ca="1" si="1"/>
        <v>54</v>
      </c>
      <c r="E73" s="1" t="s">
        <v>30</v>
      </c>
      <c r="F73" s="5">
        <v>8100</v>
      </c>
      <c r="G73" s="1" t="s">
        <v>9</v>
      </c>
    </row>
    <row r="74" spans="1:7" x14ac:dyDescent="0.3">
      <c r="A74" s="1" t="s">
        <v>107</v>
      </c>
      <c r="B74" s="3">
        <v>458618</v>
      </c>
      <c r="C74" s="2">
        <v>27227</v>
      </c>
      <c r="D74" s="4">
        <f t="shared" ca="1" si="1"/>
        <v>51</v>
      </c>
      <c r="E74" s="1" t="s">
        <v>31</v>
      </c>
      <c r="F74" s="5">
        <v>11600</v>
      </c>
      <c r="G74" s="1" t="s">
        <v>24</v>
      </c>
    </row>
    <row r="75" spans="1:7" x14ac:dyDescent="0.3">
      <c r="A75" s="1" t="s">
        <v>108</v>
      </c>
      <c r="B75" s="3">
        <v>714629</v>
      </c>
      <c r="C75" s="2">
        <v>34598</v>
      </c>
      <c r="D75" s="4">
        <f t="shared" ca="1" si="1"/>
        <v>31</v>
      </c>
      <c r="E75" s="1" t="s">
        <v>29</v>
      </c>
      <c r="F75" s="5">
        <v>14100</v>
      </c>
      <c r="G75" s="1" t="s">
        <v>15</v>
      </c>
    </row>
    <row r="76" spans="1:7" x14ac:dyDescent="0.3">
      <c r="A76" s="1" t="s">
        <v>109</v>
      </c>
      <c r="B76" s="3">
        <v>307552</v>
      </c>
      <c r="C76" s="2">
        <v>29013</v>
      </c>
      <c r="D76" s="4">
        <f t="shared" ca="1" si="1"/>
        <v>47</v>
      </c>
      <c r="E76" s="1" t="s">
        <v>27</v>
      </c>
      <c r="F76" s="5">
        <v>14600</v>
      </c>
      <c r="G76" s="1" t="s">
        <v>9</v>
      </c>
    </row>
    <row r="77" spans="1:7" x14ac:dyDescent="0.3">
      <c r="A77" s="1" t="s">
        <v>110</v>
      </c>
      <c r="B77" s="3">
        <v>405507</v>
      </c>
      <c r="C77" s="2">
        <v>36489</v>
      </c>
      <c r="D77" s="4">
        <f t="shared" ca="1" si="1"/>
        <v>26</v>
      </c>
      <c r="E77" s="1" t="s">
        <v>30</v>
      </c>
      <c r="F77" s="5">
        <v>9300</v>
      </c>
      <c r="G77" s="1" t="s">
        <v>11</v>
      </c>
    </row>
    <row r="78" spans="1:7" x14ac:dyDescent="0.3">
      <c r="A78" s="1" t="s">
        <v>111</v>
      </c>
      <c r="B78" s="3">
        <v>109646</v>
      </c>
      <c r="C78" s="2">
        <v>35699</v>
      </c>
      <c r="D78" s="4">
        <f t="shared" ca="1" si="1"/>
        <v>28</v>
      </c>
      <c r="E78" s="1" t="s">
        <v>30</v>
      </c>
      <c r="F78" s="5">
        <v>9400</v>
      </c>
      <c r="G78" s="1" t="s">
        <v>16</v>
      </c>
    </row>
    <row r="79" spans="1:7" x14ac:dyDescent="0.3">
      <c r="A79" s="1" t="s">
        <v>112</v>
      </c>
      <c r="B79" s="3">
        <v>315601</v>
      </c>
      <c r="C79" s="2">
        <v>33998</v>
      </c>
      <c r="D79" s="4">
        <f t="shared" ca="1" si="1"/>
        <v>33</v>
      </c>
      <c r="E79" s="1" t="s">
        <v>30</v>
      </c>
      <c r="F79" s="5">
        <v>6400</v>
      </c>
      <c r="G79" s="1" t="s">
        <v>26</v>
      </c>
    </row>
    <row r="80" spans="1:7" x14ac:dyDescent="0.3">
      <c r="A80" s="1" t="s">
        <v>113</v>
      </c>
      <c r="B80" s="3">
        <v>146417</v>
      </c>
      <c r="C80" s="2">
        <v>29624</v>
      </c>
      <c r="D80" s="4">
        <f t="shared" ca="1" si="1"/>
        <v>45</v>
      </c>
      <c r="E80" s="1" t="s">
        <v>29</v>
      </c>
      <c r="F80" s="5">
        <v>3800</v>
      </c>
      <c r="G80" s="1" t="s">
        <v>10</v>
      </c>
    </row>
    <row r="81" spans="1:7" x14ac:dyDescent="0.3">
      <c r="A81" s="1" t="s">
        <v>114</v>
      </c>
      <c r="B81" s="3">
        <v>756331</v>
      </c>
      <c r="C81" s="2">
        <v>34458</v>
      </c>
      <c r="D81" s="4">
        <f t="shared" ca="1" si="1"/>
        <v>32</v>
      </c>
      <c r="E81" s="1" t="s">
        <v>31</v>
      </c>
      <c r="F81" s="5">
        <v>10700</v>
      </c>
      <c r="G81" s="1" t="s">
        <v>6</v>
      </c>
    </row>
    <row r="82" spans="1:7" x14ac:dyDescent="0.3">
      <c r="A82" s="1" t="s">
        <v>115</v>
      </c>
      <c r="B82" s="3">
        <v>434332</v>
      </c>
      <c r="C82" s="2">
        <v>32506</v>
      </c>
      <c r="D82" s="4">
        <f t="shared" ca="1" si="1"/>
        <v>37</v>
      </c>
      <c r="E82" s="1" t="s">
        <v>30</v>
      </c>
      <c r="F82" s="5">
        <v>8200</v>
      </c>
      <c r="G82" s="1" t="s">
        <v>19</v>
      </c>
    </row>
    <row r="83" spans="1:7" x14ac:dyDescent="0.3">
      <c r="A83" s="1" t="s">
        <v>116</v>
      </c>
      <c r="B83" s="3">
        <v>341908</v>
      </c>
      <c r="C83" s="2">
        <v>34041</v>
      </c>
      <c r="D83" s="4">
        <f t="shared" ca="1" si="1"/>
        <v>33</v>
      </c>
      <c r="E83" s="1" t="s">
        <v>29</v>
      </c>
      <c r="F83" s="5">
        <v>8300</v>
      </c>
      <c r="G83" s="1" t="s">
        <v>11</v>
      </c>
    </row>
    <row r="84" spans="1:7" x14ac:dyDescent="0.3">
      <c r="A84" s="1" t="s">
        <v>117</v>
      </c>
      <c r="B84" s="3">
        <v>649908</v>
      </c>
      <c r="C84" s="2">
        <v>30965</v>
      </c>
      <c r="D84" s="4">
        <f t="shared" ca="1" si="1"/>
        <v>41</v>
      </c>
      <c r="E84" s="1" t="s">
        <v>28</v>
      </c>
      <c r="F84" s="5">
        <v>12900</v>
      </c>
      <c r="G84" s="1" t="s">
        <v>18</v>
      </c>
    </row>
    <row r="85" spans="1:7" x14ac:dyDescent="0.3">
      <c r="A85" s="1" t="s">
        <v>118</v>
      </c>
      <c r="B85" s="3">
        <v>829554</v>
      </c>
      <c r="C85" s="2">
        <v>34823</v>
      </c>
      <c r="D85" s="4">
        <f t="shared" ca="1" si="1"/>
        <v>31</v>
      </c>
      <c r="E85" s="1" t="s">
        <v>29</v>
      </c>
      <c r="F85" s="5">
        <v>6600</v>
      </c>
      <c r="G85" s="1" t="s">
        <v>19</v>
      </c>
    </row>
    <row r="86" spans="1:7" x14ac:dyDescent="0.3">
      <c r="A86" s="1" t="s">
        <v>119</v>
      </c>
      <c r="B86" s="3">
        <v>932655</v>
      </c>
      <c r="C86" s="2">
        <v>25686</v>
      </c>
      <c r="D86" s="4">
        <f t="shared" ca="1" si="1"/>
        <v>56</v>
      </c>
      <c r="E86" s="1" t="s">
        <v>27</v>
      </c>
      <c r="F86" s="5">
        <v>6100</v>
      </c>
      <c r="G86" s="1" t="s">
        <v>6</v>
      </c>
    </row>
    <row r="87" spans="1:7" x14ac:dyDescent="0.3">
      <c r="A87" s="1" t="s">
        <v>120</v>
      </c>
      <c r="B87" s="3">
        <v>439104</v>
      </c>
      <c r="C87" s="2">
        <v>32668</v>
      </c>
      <c r="D87" s="4">
        <f t="shared" ca="1" si="1"/>
        <v>37</v>
      </c>
      <c r="E87" s="1" t="s">
        <v>29</v>
      </c>
      <c r="F87" s="5">
        <v>4600</v>
      </c>
      <c r="G87" s="1" t="s">
        <v>8</v>
      </c>
    </row>
    <row r="88" spans="1:7" x14ac:dyDescent="0.3">
      <c r="A88" s="1" t="s">
        <v>121</v>
      </c>
      <c r="B88" s="3">
        <v>122806</v>
      </c>
      <c r="C88" s="2">
        <v>33188</v>
      </c>
      <c r="D88" s="4">
        <f t="shared" ca="1" si="1"/>
        <v>35</v>
      </c>
      <c r="E88" s="1" t="s">
        <v>29</v>
      </c>
      <c r="F88" s="5">
        <v>14900</v>
      </c>
      <c r="G88" s="1" t="s">
        <v>26</v>
      </c>
    </row>
    <row r="89" spans="1:7" x14ac:dyDescent="0.3">
      <c r="A89" s="1" t="s">
        <v>122</v>
      </c>
      <c r="B89" s="3">
        <v>845658</v>
      </c>
      <c r="C89" s="2">
        <v>31193</v>
      </c>
      <c r="D89" s="4">
        <f t="shared" ca="1" si="1"/>
        <v>41</v>
      </c>
      <c r="E89" s="1" t="s">
        <v>32</v>
      </c>
      <c r="F89" s="5">
        <v>9800</v>
      </c>
      <c r="G89" s="1" t="s">
        <v>9</v>
      </c>
    </row>
    <row r="90" spans="1:7" x14ac:dyDescent="0.3">
      <c r="A90" s="1" t="s">
        <v>123</v>
      </c>
      <c r="B90" s="3">
        <v>256939</v>
      </c>
      <c r="C90" s="2">
        <v>36817</v>
      </c>
      <c r="D90" s="4">
        <f t="shared" ca="1" si="1"/>
        <v>25</v>
      </c>
      <c r="E90" s="1" t="s">
        <v>30</v>
      </c>
      <c r="F90" s="5">
        <v>14500</v>
      </c>
      <c r="G90" s="1" t="s">
        <v>6</v>
      </c>
    </row>
    <row r="91" spans="1:7" x14ac:dyDescent="0.3">
      <c r="A91" s="1" t="s">
        <v>124</v>
      </c>
      <c r="B91" s="3">
        <v>903712</v>
      </c>
      <c r="C91" s="2">
        <v>32809</v>
      </c>
      <c r="D91" s="4">
        <f t="shared" ca="1" si="1"/>
        <v>36</v>
      </c>
      <c r="E91" s="1" t="s">
        <v>29</v>
      </c>
      <c r="F91" s="5">
        <v>14500</v>
      </c>
      <c r="G91" s="1" t="s">
        <v>21</v>
      </c>
    </row>
    <row r="92" spans="1:7" x14ac:dyDescent="0.3">
      <c r="A92" s="1" t="s">
        <v>125</v>
      </c>
      <c r="B92" s="3">
        <v>155634</v>
      </c>
      <c r="C92" s="2">
        <v>30501</v>
      </c>
      <c r="D92" s="4">
        <f t="shared" ca="1" si="1"/>
        <v>42</v>
      </c>
      <c r="E92" s="1" t="s">
        <v>29</v>
      </c>
      <c r="F92" s="5">
        <v>3800</v>
      </c>
      <c r="G92" s="1" t="s">
        <v>5</v>
      </c>
    </row>
    <row r="93" spans="1:7" x14ac:dyDescent="0.3">
      <c r="A93" s="1" t="s">
        <v>126</v>
      </c>
      <c r="B93" s="3">
        <v>432555</v>
      </c>
      <c r="C93" s="2">
        <v>27978</v>
      </c>
      <c r="D93" s="4">
        <f t="shared" ca="1" si="1"/>
        <v>49</v>
      </c>
      <c r="E93" s="1" t="s">
        <v>31</v>
      </c>
      <c r="F93" s="5">
        <v>10200</v>
      </c>
      <c r="G93" s="1" t="s">
        <v>6</v>
      </c>
    </row>
    <row r="94" spans="1:7" x14ac:dyDescent="0.3">
      <c r="A94" s="1" t="s">
        <v>127</v>
      </c>
      <c r="B94" s="3">
        <v>432845</v>
      </c>
      <c r="C94" s="2">
        <v>29012</v>
      </c>
      <c r="D94" s="4">
        <f t="shared" ca="1" si="1"/>
        <v>47</v>
      </c>
      <c r="E94" s="1" t="s">
        <v>31</v>
      </c>
      <c r="F94" s="5">
        <v>14900</v>
      </c>
      <c r="G94" s="1" t="s">
        <v>14</v>
      </c>
    </row>
    <row r="95" spans="1:7" x14ac:dyDescent="0.3">
      <c r="A95" s="1" t="s">
        <v>128</v>
      </c>
      <c r="B95" s="3">
        <v>148928</v>
      </c>
      <c r="C95" s="2">
        <v>34421</v>
      </c>
      <c r="D95" s="4">
        <f t="shared" ca="1" si="1"/>
        <v>32</v>
      </c>
      <c r="E95" s="1" t="s">
        <v>31</v>
      </c>
      <c r="F95" s="5">
        <v>4000</v>
      </c>
      <c r="G95" s="1" t="s">
        <v>17</v>
      </c>
    </row>
    <row r="96" spans="1:7" x14ac:dyDescent="0.3">
      <c r="A96" s="1" t="s">
        <v>129</v>
      </c>
      <c r="B96" s="3">
        <v>422346</v>
      </c>
      <c r="C96" s="2">
        <v>24867</v>
      </c>
      <c r="D96" s="4">
        <f t="shared" ca="1" si="1"/>
        <v>58</v>
      </c>
      <c r="E96" s="1" t="s">
        <v>32</v>
      </c>
      <c r="F96" s="5">
        <v>8500</v>
      </c>
      <c r="G96" s="1" t="s">
        <v>19</v>
      </c>
    </row>
    <row r="97" spans="1:7" x14ac:dyDescent="0.3">
      <c r="A97" s="1" t="s">
        <v>130</v>
      </c>
      <c r="B97" s="3">
        <v>956242</v>
      </c>
      <c r="C97" s="2">
        <v>33202</v>
      </c>
      <c r="D97" s="4">
        <f t="shared" ca="1" si="1"/>
        <v>35</v>
      </c>
      <c r="E97" s="1" t="s">
        <v>27</v>
      </c>
      <c r="F97" s="5">
        <v>13700</v>
      </c>
      <c r="G97" s="1" t="s">
        <v>6</v>
      </c>
    </row>
    <row r="98" spans="1:7" x14ac:dyDescent="0.3">
      <c r="A98" s="1" t="s">
        <v>131</v>
      </c>
      <c r="B98" s="3">
        <v>951222</v>
      </c>
      <c r="C98" s="2">
        <v>32215</v>
      </c>
      <c r="D98" s="4">
        <f t="shared" ca="1" si="1"/>
        <v>38</v>
      </c>
      <c r="E98" s="1" t="s">
        <v>30</v>
      </c>
      <c r="F98" s="5">
        <v>14300</v>
      </c>
      <c r="G98" s="1" t="s">
        <v>7</v>
      </c>
    </row>
  </sheetData>
  <dataValidations count="1">
    <dataValidation type="list" allowBlank="1" showInputMessage="1" showErrorMessage="1" sqref="K11">
      <formula1>$J$3:$J$9</formula1>
    </dataValidation>
  </dataValidation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8"/>
  <sheetViews>
    <sheetView showGridLines="0" topLeftCell="A10" zoomScale="120" zoomScaleNormal="120" workbookViewId="0">
      <selection activeCell="K10" sqref="K10"/>
    </sheetView>
  </sheetViews>
  <sheetFormatPr defaultRowHeight="14.4" x14ac:dyDescent="0.3"/>
  <cols>
    <col min="1" max="1" width="20.5546875" customWidth="1"/>
    <col min="2" max="2" width="10.21875" customWidth="1"/>
    <col min="3" max="3" width="12.88671875" customWidth="1"/>
    <col min="4" max="4" width="7.109375" customWidth="1"/>
    <col min="5" max="5" width="14.5546875" customWidth="1"/>
    <col min="6" max="6" width="10" customWidth="1"/>
    <col min="7" max="7" width="16.6640625" customWidth="1"/>
    <col min="10" max="10" width="16.44140625" customWidth="1"/>
    <col min="11" max="11" width="20.109375" bestFit="1" customWidth="1"/>
  </cols>
  <sheetData>
    <row r="1" spans="1:11" x14ac:dyDescent="0.3">
      <c r="A1" s="6" t="s">
        <v>34</v>
      </c>
      <c r="B1" s="6" t="s">
        <v>0</v>
      </c>
      <c r="C1" s="6" t="s">
        <v>1</v>
      </c>
      <c r="D1" s="6" t="s">
        <v>132</v>
      </c>
      <c r="E1" s="6" t="s">
        <v>2</v>
      </c>
      <c r="F1" s="6" t="s">
        <v>3</v>
      </c>
      <c r="G1" s="6" t="s">
        <v>4</v>
      </c>
      <c r="I1" s="8"/>
      <c r="J1" s="8"/>
      <c r="K1" s="8"/>
    </row>
    <row r="2" spans="1:11" x14ac:dyDescent="0.3">
      <c r="A2" s="1" t="s">
        <v>35</v>
      </c>
      <c r="B2" s="3">
        <v>236715</v>
      </c>
      <c r="C2" s="2">
        <v>26753</v>
      </c>
      <c r="D2" s="4">
        <f ca="1">DATEDIF(C2,TODAY(),"Y")</f>
        <v>53</v>
      </c>
      <c r="E2" s="1" t="s">
        <v>28</v>
      </c>
      <c r="F2" s="5">
        <v>4400</v>
      </c>
      <c r="G2" s="1" t="s">
        <v>6</v>
      </c>
      <c r="I2" s="8"/>
      <c r="J2" s="16" t="s">
        <v>34</v>
      </c>
      <c r="K2" s="10" t="s">
        <v>36</v>
      </c>
    </row>
    <row r="3" spans="1:11" x14ac:dyDescent="0.3">
      <c r="A3" s="1" t="s">
        <v>36</v>
      </c>
      <c r="B3" s="3">
        <v>123456</v>
      </c>
      <c r="C3" s="2">
        <v>33924</v>
      </c>
      <c r="D3" s="4">
        <f t="shared" ref="D3:D66" ca="1" si="0">DATEDIF(C3,TODAY(),"Y")</f>
        <v>33</v>
      </c>
      <c r="E3" s="1" t="s">
        <v>29</v>
      </c>
      <c r="F3" s="5">
        <v>4800</v>
      </c>
      <c r="G3" s="1" t="s">
        <v>6</v>
      </c>
      <c r="I3" s="8"/>
      <c r="J3" s="20" t="s">
        <v>2</v>
      </c>
      <c r="K3" s="11" t="str">
        <f>VLOOKUP(A9,A:E,5,0)</f>
        <v>Comercial</v>
      </c>
    </row>
    <row r="4" spans="1:11" x14ac:dyDescent="0.3">
      <c r="A4" s="1" t="s">
        <v>37</v>
      </c>
      <c r="B4" s="3">
        <v>809213</v>
      </c>
      <c r="C4" s="2">
        <v>35295</v>
      </c>
      <c r="D4" s="4">
        <f t="shared" ca="1" si="0"/>
        <v>29</v>
      </c>
      <c r="E4" s="1" t="s">
        <v>27</v>
      </c>
      <c r="F4" s="5">
        <v>14500</v>
      </c>
      <c r="G4" s="1" t="s">
        <v>7</v>
      </c>
      <c r="I4" s="8"/>
      <c r="J4" s="8"/>
      <c r="K4" s="8"/>
    </row>
    <row r="5" spans="1:11" x14ac:dyDescent="0.3">
      <c r="A5" s="1" t="s">
        <v>38</v>
      </c>
      <c r="B5" s="3">
        <v>108251</v>
      </c>
      <c r="C5" s="2">
        <v>36629</v>
      </c>
      <c r="D5" s="4">
        <f t="shared" ca="1" si="0"/>
        <v>26</v>
      </c>
      <c r="E5" s="1" t="s">
        <v>27</v>
      </c>
      <c r="F5" s="5">
        <v>6000</v>
      </c>
      <c r="G5" s="1" t="s">
        <v>8</v>
      </c>
      <c r="I5" s="8"/>
      <c r="J5" s="16" t="s">
        <v>34</v>
      </c>
      <c r="K5" s="10" t="s">
        <v>40</v>
      </c>
    </row>
    <row r="6" spans="1:11" x14ac:dyDescent="0.3">
      <c r="A6" s="1" t="s">
        <v>39</v>
      </c>
      <c r="B6" s="3">
        <v>904603</v>
      </c>
      <c r="C6" s="2">
        <v>31822</v>
      </c>
      <c r="D6" s="4">
        <f t="shared" ca="1" si="0"/>
        <v>39</v>
      </c>
      <c r="E6" s="1" t="s">
        <v>29</v>
      </c>
      <c r="F6" s="5">
        <v>8500</v>
      </c>
      <c r="G6" s="1" t="s">
        <v>6</v>
      </c>
      <c r="I6" s="8"/>
      <c r="J6" s="20" t="s">
        <v>4</v>
      </c>
      <c r="K6" s="11" t="str">
        <f>VLOOKUP(A7,A:G,7,0)</f>
        <v>São Paulo</v>
      </c>
    </row>
    <row r="7" spans="1:11" x14ac:dyDescent="0.3">
      <c r="A7" s="1" t="s">
        <v>40</v>
      </c>
      <c r="B7" s="3">
        <v>654321</v>
      </c>
      <c r="C7" s="2">
        <v>30702</v>
      </c>
      <c r="D7" s="4">
        <f t="shared" ca="1" si="0"/>
        <v>42</v>
      </c>
      <c r="E7" s="1" t="s">
        <v>30</v>
      </c>
      <c r="F7" s="5">
        <v>6400</v>
      </c>
      <c r="G7" s="1" t="s">
        <v>9</v>
      </c>
      <c r="I7" s="8"/>
      <c r="J7" s="8"/>
      <c r="K7" s="8"/>
    </row>
    <row r="8" spans="1:11" x14ac:dyDescent="0.3">
      <c r="A8" s="1" t="s">
        <v>41</v>
      </c>
      <c r="B8" s="3">
        <v>924115</v>
      </c>
      <c r="C8" s="2">
        <v>31348</v>
      </c>
      <c r="D8" s="4">
        <f t="shared" ca="1" si="0"/>
        <v>40</v>
      </c>
      <c r="E8" s="1" t="s">
        <v>28</v>
      </c>
      <c r="F8" s="5">
        <v>6200</v>
      </c>
      <c r="G8" s="1" t="s">
        <v>10</v>
      </c>
      <c r="I8" s="8"/>
      <c r="J8" s="16" t="s">
        <v>0</v>
      </c>
      <c r="K8" s="14">
        <v>915827</v>
      </c>
    </row>
    <row r="9" spans="1:11" x14ac:dyDescent="0.3">
      <c r="A9" s="1" t="s">
        <v>42</v>
      </c>
      <c r="B9" s="3">
        <v>331803</v>
      </c>
      <c r="C9" s="2">
        <v>27877</v>
      </c>
      <c r="D9" s="4">
        <f t="shared" ca="1" si="0"/>
        <v>50</v>
      </c>
      <c r="E9" s="1" t="s">
        <v>29</v>
      </c>
      <c r="F9" s="5">
        <v>5200</v>
      </c>
      <c r="G9" s="1" t="s">
        <v>11</v>
      </c>
      <c r="I9" s="8"/>
      <c r="J9" s="20" t="s">
        <v>132</v>
      </c>
      <c r="K9" s="7" t="e">
        <f ca="1">VLOOKUP(D18,B:D,3,0)</f>
        <v>#N/A</v>
      </c>
    </row>
    <row r="10" spans="1:11" x14ac:dyDescent="0.3">
      <c r="A10" s="1" t="s">
        <v>43</v>
      </c>
      <c r="B10" s="3">
        <v>132516</v>
      </c>
      <c r="C10" s="2">
        <v>27579</v>
      </c>
      <c r="D10" s="4">
        <f t="shared" ca="1" si="0"/>
        <v>50</v>
      </c>
      <c r="E10" s="1" t="s">
        <v>30</v>
      </c>
      <c r="F10" s="5">
        <v>11300</v>
      </c>
      <c r="G10" s="1" t="s">
        <v>12</v>
      </c>
      <c r="I10" s="8"/>
      <c r="J10" s="8"/>
      <c r="K10" s="8"/>
    </row>
    <row r="11" spans="1:11" x14ac:dyDescent="0.3">
      <c r="A11" s="1" t="s">
        <v>44</v>
      </c>
      <c r="B11" s="3">
        <v>546209</v>
      </c>
      <c r="C11" s="2">
        <v>30514</v>
      </c>
      <c r="D11" s="4">
        <f t="shared" ca="1" si="0"/>
        <v>42</v>
      </c>
      <c r="E11" s="1" t="s">
        <v>31</v>
      </c>
      <c r="F11" s="5">
        <v>14900</v>
      </c>
      <c r="G11" s="1" t="s">
        <v>6</v>
      </c>
      <c r="I11" s="8"/>
      <c r="J11" s="16" t="s">
        <v>0</v>
      </c>
      <c r="K11" s="14">
        <v>809213</v>
      </c>
    </row>
    <row r="12" spans="1:11" x14ac:dyDescent="0.3">
      <c r="A12" s="1" t="s">
        <v>45</v>
      </c>
      <c r="B12" s="3">
        <v>837859</v>
      </c>
      <c r="C12" s="2">
        <v>35331</v>
      </c>
      <c r="D12" s="4">
        <f t="shared" ca="1" si="0"/>
        <v>29</v>
      </c>
      <c r="E12" s="1" t="s">
        <v>27</v>
      </c>
      <c r="F12" s="5">
        <v>11800</v>
      </c>
      <c r="G12" s="1" t="s">
        <v>13</v>
      </c>
      <c r="I12" s="8"/>
      <c r="J12" s="20" t="s">
        <v>3</v>
      </c>
      <c r="K12" s="12">
        <f>VLOOKUP(K11,B:F,5,0)</f>
        <v>14500</v>
      </c>
    </row>
    <row r="13" spans="1:11" x14ac:dyDescent="0.3">
      <c r="A13" s="1" t="s">
        <v>46</v>
      </c>
      <c r="B13" s="3">
        <v>706517</v>
      </c>
      <c r="C13" s="2">
        <v>26809</v>
      </c>
      <c r="D13" s="4">
        <f t="shared" ca="1" si="0"/>
        <v>53</v>
      </c>
      <c r="E13" s="1" t="s">
        <v>30</v>
      </c>
      <c r="F13" s="5">
        <v>11200</v>
      </c>
      <c r="G13" s="1" t="s">
        <v>5</v>
      </c>
      <c r="I13" s="8"/>
      <c r="J13" s="8"/>
      <c r="K13" s="8"/>
    </row>
    <row r="14" spans="1:11" x14ac:dyDescent="0.3">
      <c r="A14" s="1" t="s">
        <v>47</v>
      </c>
      <c r="B14" s="3">
        <v>448932</v>
      </c>
      <c r="C14" s="2">
        <v>34917</v>
      </c>
      <c r="D14" s="4">
        <f t="shared" ca="1" si="0"/>
        <v>30</v>
      </c>
      <c r="E14" s="1" t="s">
        <v>32</v>
      </c>
      <c r="F14" s="5">
        <v>8300</v>
      </c>
      <c r="G14" s="1" t="s">
        <v>14</v>
      </c>
      <c r="I14" s="8"/>
      <c r="J14" s="8"/>
      <c r="K14" s="8"/>
    </row>
    <row r="15" spans="1:11" x14ac:dyDescent="0.3">
      <c r="A15" s="1" t="s">
        <v>48</v>
      </c>
      <c r="B15" s="3">
        <v>256741</v>
      </c>
      <c r="C15" s="2">
        <v>25593</v>
      </c>
      <c r="D15" s="4">
        <f t="shared" ca="1" si="0"/>
        <v>56</v>
      </c>
      <c r="E15" s="1" t="s">
        <v>32</v>
      </c>
      <c r="F15" s="5">
        <v>13100</v>
      </c>
      <c r="G15" s="1" t="s">
        <v>15</v>
      </c>
      <c r="I15" s="8"/>
      <c r="J15" s="8"/>
      <c r="K15" s="8"/>
    </row>
    <row r="16" spans="1:11" x14ac:dyDescent="0.3">
      <c r="A16" s="1" t="s">
        <v>49</v>
      </c>
      <c r="B16" s="3">
        <v>807613</v>
      </c>
      <c r="C16" s="2">
        <v>26445</v>
      </c>
      <c r="D16" s="4">
        <f t="shared" ca="1" si="0"/>
        <v>54</v>
      </c>
      <c r="E16" s="1" t="s">
        <v>30</v>
      </c>
      <c r="F16" s="5">
        <v>10400</v>
      </c>
      <c r="G16" s="1" t="s">
        <v>5</v>
      </c>
    </row>
    <row r="17" spans="1:7" x14ac:dyDescent="0.3">
      <c r="A17" s="1" t="s">
        <v>50</v>
      </c>
      <c r="B17" s="3">
        <v>158744</v>
      </c>
      <c r="C17" s="2">
        <v>25519</v>
      </c>
      <c r="D17" s="4">
        <f t="shared" ca="1" si="0"/>
        <v>56</v>
      </c>
      <c r="E17" s="1" t="s">
        <v>28</v>
      </c>
      <c r="F17" s="5">
        <v>9300</v>
      </c>
      <c r="G17" s="1" t="s">
        <v>16</v>
      </c>
    </row>
    <row r="18" spans="1:7" x14ac:dyDescent="0.3">
      <c r="A18" s="1" t="s">
        <v>51</v>
      </c>
      <c r="B18" s="3">
        <v>915827</v>
      </c>
      <c r="C18" s="2">
        <v>32357</v>
      </c>
      <c r="D18" s="4">
        <f t="shared" ca="1" si="0"/>
        <v>37</v>
      </c>
      <c r="E18" s="1" t="s">
        <v>28</v>
      </c>
      <c r="F18" s="5">
        <v>11700</v>
      </c>
      <c r="G18" s="1" t="s">
        <v>17</v>
      </c>
    </row>
    <row r="19" spans="1:7" x14ac:dyDescent="0.3">
      <c r="A19" s="1" t="s">
        <v>52</v>
      </c>
      <c r="B19" s="3">
        <v>458448</v>
      </c>
      <c r="C19" s="2">
        <v>28561</v>
      </c>
      <c r="D19" s="4">
        <f t="shared" ca="1" si="0"/>
        <v>48</v>
      </c>
      <c r="E19" s="1" t="s">
        <v>27</v>
      </c>
      <c r="F19" s="5">
        <v>9300</v>
      </c>
      <c r="G19" s="1" t="s">
        <v>18</v>
      </c>
    </row>
    <row r="20" spans="1:7" x14ac:dyDescent="0.3">
      <c r="A20" s="1" t="s">
        <v>53</v>
      </c>
      <c r="B20" s="3">
        <v>156934</v>
      </c>
      <c r="C20" s="2">
        <v>32416</v>
      </c>
      <c r="D20" s="4">
        <f t="shared" ca="1" si="0"/>
        <v>37</v>
      </c>
      <c r="E20" s="1" t="s">
        <v>27</v>
      </c>
      <c r="F20" s="5">
        <v>10900</v>
      </c>
      <c r="G20" s="1" t="s">
        <v>19</v>
      </c>
    </row>
    <row r="21" spans="1:7" x14ac:dyDescent="0.3">
      <c r="A21" s="1" t="s">
        <v>54</v>
      </c>
      <c r="B21" s="3">
        <v>201549</v>
      </c>
      <c r="C21" s="2">
        <v>28292</v>
      </c>
      <c r="D21" s="4">
        <f t="shared" ca="1" si="0"/>
        <v>48</v>
      </c>
      <c r="E21" s="1" t="s">
        <v>31</v>
      </c>
      <c r="F21" s="5">
        <v>7100</v>
      </c>
      <c r="G21" s="1" t="s">
        <v>9</v>
      </c>
    </row>
    <row r="22" spans="1:7" x14ac:dyDescent="0.3">
      <c r="A22" s="1" t="s">
        <v>55</v>
      </c>
      <c r="B22" s="3">
        <v>852204</v>
      </c>
      <c r="C22" s="2">
        <v>29769</v>
      </c>
      <c r="D22" s="4">
        <f t="shared" ca="1" si="0"/>
        <v>44</v>
      </c>
      <c r="E22" s="1" t="s">
        <v>31</v>
      </c>
      <c r="F22" s="5">
        <v>4300</v>
      </c>
      <c r="G22" s="1" t="s">
        <v>6</v>
      </c>
    </row>
    <row r="23" spans="1:7" x14ac:dyDescent="0.3">
      <c r="A23" s="1" t="s">
        <v>56</v>
      </c>
      <c r="B23" s="3">
        <v>414836</v>
      </c>
      <c r="C23" s="2">
        <v>27848</v>
      </c>
      <c r="D23" s="4">
        <f t="shared" ca="1" si="0"/>
        <v>50</v>
      </c>
      <c r="E23" s="1" t="s">
        <v>30</v>
      </c>
      <c r="F23" s="5">
        <v>3700</v>
      </c>
      <c r="G23" s="1" t="s">
        <v>7</v>
      </c>
    </row>
    <row r="24" spans="1:7" x14ac:dyDescent="0.3">
      <c r="A24" s="1" t="s">
        <v>57</v>
      </c>
      <c r="B24" s="3">
        <v>341846</v>
      </c>
      <c r="C24" s="2">
        <v>31810</v>
      </c>
      <c r="D24" s="4">
        <f t="shared" ca="1" si="0"/>
        <v>39</v>
      </c>
      <c r="E24" s="1" t="s">
        <v>31</v>
      </c>
      <c r="F24" s="5">
        <v>5700</v>
      </c>
      <c r="G24" s="1" t="s">
        <v>20</v>
      </c>
    </row>
    <row r="25" spans="1:7" x14ac:dyDescent="0.3">
      <c r="A25" s="1" t="s">
        <v>58</v>
      </c>
      <c r="B25" s="3">
        <v>147632</v>
      </c>
      <c r="C25" s="2">
        <v>30187</v>
      </c>
      <c r="D25" s="4">
        <f t="shared" ca="1" si="0"/>
        <v>43</v>
      </c>
      <c r="E25" s="1" t="s">
        <v>30</v>
      </c>
      <c r="F25" s="5">
        <v>8300</v>
      </c>
      <c r="G25" s="1" t="s">
        <v>21</v>
      </c>
    </row>
    <row r="26" spans="1:7" x14ac:dyDescent="0.3">
      <c r="A26" s="1" t="s">
        <v>59</v>
      </c>
      <c r="B26" s="3">
        <v>652941</v>
      </c>
      <c r="C26" s="2">
        <v>35984</v>
      </c>
      <c r="D26" s="4">
        <f t="shared" ca="1" si="0"/>
        <v>27</v>
      </c>
      <c r="E26" s="1" t="s">
        <v>29</v>
      </c>
      <c r="F26" s="5">
        <v>9300</v>
      </c>
      <c r="G26" s="1" t="s">
        <v>18</v>
      </c>
    </row>
    <row r="27" spans="1:7" x14ac:dyDescent="0.3">
      <c r="A27" s="1" t="s">
        <v>60</v>
      </c>
      <c r="B27" s="3">
        <v>444733</v>
      </c>
      <c r="C27" s="2">
        <v>28689</v>
      </c>
      <c r="D27" s="4">
        <f t="shared" ca="1" si="0"/>
        <v>47</v>
      </c>
      <c r="E27" s="1" t="s">
        <v>29</v>
      </c>
      <c r="F27" s="5">
        <v>9200</v>
      </c>
      <c r="G27" s="1" t="s">
        <v>22</v>
      </c>
    </row>
    <row r="28" spans="1:7" x14ac:dyDescent="0.3">
      <c r="A28" s="1" t="s">
        <v>61</v>
      </c>
      <c r="B28" s="3">
        <v>842823</v>
      </c>
      <c r="C28" s="2">
        <v>35335</v>
      </c>
      <c r="D28" s="4">
        <f t="shared" ca="1" si="0"/>
        <v>29</v>
      </c>
      <c r="E28" s="1" t="s">
        <v>32</v>
      </c>
      <c r="F28" s="5">
        <v>8100</v>
      </c>
      <c r="G28" s="1" t="s">
        <v>23</v>
      </c>
    </row>
    <row r="29" spans="1:7" x14ac:dyDescent="0.3">
      <c r="A29" s="1" t="s">
        <v>62</v>
      </c>
      <c r="B29" s="3">
        <v>842225</v>
      </c>
      <c r="C29" s="2">
        <v>35815</v>
      </c>
      <c r="D29" s="4">
        <f t="shared" ca="1" si="0"/>
        <v>28</v>
      </c>
      <c r="E29" s="1" t="s">
        <v>29</v>
      </c>
      <c r="F29" s="5">
        <v>7000</v>
      </c>
      <c r="G29" s="1" t="s">
        <v>21</v>
      </c>
    </row>
    <row r="30" spans="1:7" x14ac:dyDescent="0.3">
      <c r="A30" s="1" t="s">
        <v>63</v>
      </c>
      <c r="B30" s="3">
        <v>953425</v>
      </c>
      <c r="C30" s="2">
        <v>36690</v>
      </c>
      <c r="D30" s="4">
        <f t="shared" ca="1" si="0"/>
        <v>25</v>
      </c>
      <c r="E30" s="1" t="s">
        <v>29</v>
      </c>
      <c r="F30" s="5">
        <v>9700</v>
      </c>
      <c r="G30" s="1" t="s">
        <v>6</v>
      </c>
    </row>
    <row r="31" spans="1:7" x14ac:dyDescent="0.3">
      <c r="A31" s="1" t="s">
        <v>64</v>
      </c>
      <c r="B31" s="3">
        <v>416421</v>
      </c>
      <c r="C31" s="2">
        <v>25119</v>
      </c>
      <c r="D31" s="4">
        <f t="shared" ca="1" si="0"/>
        <v>57</v>
      </c>
      <c r="E31" s="1" t="s">
        <v>27</v>
      </c>
      <c r="F31" s="5">
        <v>5400</v>
      </c>
      <c r="G31" s="1" t="s">
        <v>5</v>
      </c>
    </row>
    <row r="32" spans="1:7" x14ac:dyDescent="0.3">
      <c r="A32" s="1" t="s">
        <v>65</v>
      </c>
      <c r="B32" s="3">
        <v>622521</v>
      </c>
      <c r="C32" s="2">
        <v>30022</v>
      </c>
      <c r="D32" s="4">
        <f t="shared" ca="1" si="0"/>
        <v>44</v>
      </c>
      <c r="E32" s="1" t="s">
        <v>31</v>
      </c>
      <c r="F32" s="5">
        <v>6200</v>
      </c>
      <c r="G32" s="1" t="s">
        <v>14</v>
      </c>
    </row>
    <row r="33" spans="1:7" x14ac:dyDescent="0.3">
      <c r="A33" s="1" t="s">
        <v>66</v>
      </c>
      <c r="B33" s="3">
        <v>347738</v>
      </c>
      <c r="C33" s="2">
        <v>28156</v>
      </c>
      <c r="D33" s="4">
        <f t="shared" ca="1" si="0"/>
        <v>49</v>
      </c>
      <c r="E33" s="1" t="s">
        <v>33</v>
      </c>
      <c r="F33" s="5">
        <v>6800</v>
      </c>
      <c r="G33" s="1" t="s">
        <v>24</v>
      </c>
    </row>
    <row r="34" spans="1:7" x14ac:dyDescent="0.3">
      <c r="A34" s="1" t="s">
        <v>67</v>
      </c>
      <c r="B34" s="3">
        <v>705651</v>
      </c>
      <c r="C34" s="2">
        <v>25158</v>
      </c>
      <c r="D34" s="4">
        <f t="shared" ca="1" si="0"/>
        <v>57</v>
      </c>
      <c r="E34" s="1" t="s">
        <v>27</v>
      </c>
      <c r="F34" s="5">
        <v>11800</v>
      </c>
      <c r="G34" s="1" t="s">
        <v>24</v>
      </c>
    </row>
    <row r="35" spans="1:7" x14ac:dyDescent="0.3">
      <c r="A35" s="1" t="s">
        <v>68</v>
      </c>
      <c r="B35" s="3">
        <v>223809</v>
      </c>
      <c r="C35" s="2">
        <v>27852</v>
      </c>
      <c r="D35" s="4">
        <f t="shared" ca="1" si="0"/>
        <v>50</v>
      </c>
      <c r="E35" s="1" t="s">
        <v>32</v>
      </c>
      <c r="F35" s="5">
        <v>4100</v>
      </c>
      <c r="G35" s="1" t="s">
        <v>16</v>
      </c>
    </row>
    <row r="36" spans="1:7" x14ac:dyDescent="0.3">
      <c r="A36" s="1" t="s">
        <v>69</v>
      </c>
      <c r="B36" s="3">
        <v>526714</v>
      </c>
      <c r="C36" s="2">
        <v>35962</v>
      </c>
      <c r="D36" s="4">
        <f t="shared" ca="1" si="0"/>
        <v>27</v>
      </c>
      <c r="E36" s="1" t="s">
        <v>29</v>
      </c>
      <c r="F36" s="5">
        <v>11200</v>
      </c>
      <c r="G36" s="1" t="s">
        <v>16</v>
      </c>
    </row>
    <row r="37" spans="1:7" x14ac:dyDescent="0.3">
      <c r="A37" s="1" t="s">
        <v>70</v>
      </c>
      <c r="B37" s="3">
        <v>202137</v>
      </c>
      <c r="C37" s="2">
        <v>29198</v>
      </c>
      <c r="D37" s="4">
        <f t="shared" ca="1" si="0"/>
        <v>46</v>
      </c>
      <c r="E37" s="1" t="s">
        <v>29</v>
      </c>
      <c r="F37" s="5">
        <v>13500</v>
      </c>
      <c r="G37" s="1" t="s">
        <v>5</v>
      </c>
    </row>
    <row r="38" spans="1:7" x14ac:dyDescent="0.3">
      <c r="A38" s="1" t="s">
        <v>71</v>
      </c>
      <c r="B38" s="3">
        <v>621421</v>
      </c>
      <c r="C38" s="2">
        <v>34262</v>
      </c>
      <c r="D38" s="4">
        <f t="shared" ca="1" si="0"/>
        <v>32</v>
      </c>
      <c r="E38" s="1" t="s">
        <v>31</v>
      </c>
      <c r="F38" s="5">
        <v>12800</v>
      </c>
      <c r="G38" s="1" t="s">
        <v>7</v>
      </c>
    </row>
    <row r="39" spans="1:7" x14ac:dyDescent="0.3">
      <c r="A39" s="1" t="s">
        <v>72</v>
      </c>
      <c r="B39" s="3">
        <v>632433</v>
      </c>
      <c r="C39" s="2">
        <v>28529</v>
      </c>
      <c r="D39" s="4">
        <f t="shared" ca="1" si="0"/>
        <v>48</v>
      </c>
      <c r="E39" s="1" t="s">
        <v>31</v>
      </c>
      <c r="F39" s="5">
        <v>3800</v>
      </c>
      <c r="G39" s="1" t="s">
        <v>25</v>
      </c>
    </row>
    <row r="40" spans="1:7" x14ac:dyDescent="0.3">
      <c r="A40" s="1" t="s">
        <v>73</v>
      </c>
      <c r="B40" s="3">
        <v>915741</v>
      </c>
      <c r="C40" s="2">
        <v>28571</v>
      </c>
      <c r="D40" s="4">
        <f t="shared" ca="1" si="0"/>
        <v>48</v>
      </c>
      <c r="E40" s="1" t="s">
        <v>27</v>
      </c>
      <c r="F40" s="5">
        <v>12000</v>
      </c>
      <c r="G40" s="1" t="s">
        <v>5</v>
      </c>
    </row>
    <row r="41" spans="1:7" x14ac:dyDescent="0.3">
      <c r="A41" s="1" t="s">
        <v>74</v>
      </c>
      <c r="B41" s="3">
        <v>122141</v>
      </c>
      <c r="C41" s="2">
        <v>32378</v>
      </c>
      <c r="D41" s="4">
        <f t="shared" ca="1" si="0"/>
        <v>37</v>
      </c>
      <c r="E41" s="1" t="s">
        <v>27</v>
      </c>
      <c r="F41" s="5">
        <v>11500</v>
      </c>
      <c r="G41" s="1" t="s">
        <v>6</v>
      </c>
    </row>
    <row r="42" spans="1:7" x14ac:dyDescent="0.3">
      <c r="A42" s="1" t="s">
        <v>75</v>
      </c>
      <c r="B42" s="3">
        <v>854624</v>
      </c>
      <c r="C42" s="2">
        <v>25884</v>
      </c>
      <c r="D42" s="4">
        <f t="shared" ca="1" si="0"/>
        <v>55</v>
      </c>
      <c r="E42" s="1" t="s">
        <v>27</v>
      </c>
      <c r="F42" s="5">
        <v>5700</v>
      </c>
      <c r="G42" s="1" t="s">
        <v>25</v>
      </c>
    </row>
    <row r="43" spans="1:7" x14ac:dyDescent="0.3">
      <c r="A43" s="1" t="s">
        <v>76</v>
      </c>
      <c r="B43" s="3">
        <v>228743</v>
      </c>
      <c r="C43" s="2">
        <v>32776</v>
      </c>
      <c r="D43" s="4">
        <f t="shared" ca="1" si="0"/>
        <v>36</v>
      </c>
      <c r="E43" s="1" t="s">
        <v>30</v>
      </c>
      <c r="F43" s="5">
        <v>4300</v>
      </c>
      <c r="G43" s="1" t="s">
        <v>12</v>
      </c>
    </row>
    <row r="44" spans="1:7" x14ac:dyDescent="0.3">
      <c r="A44" s="1" t="s">
        <v>77</v>
      </c>
      <c r="B44" s="3">
        <v>139404</v>
      </c>
      <c r="C44" s="2">
        <v>33048</v>
      </c>
      <c r="D44" s="4">
        <f t="shared" ca="1" si="0"/>
        <v>35</v>
      </c>
      <c r="E44" s="1" t="s">
        <v>30</v>
      </c>
      <c r="F44" s="5">
        <v>8300</v>
      </c>
      <c r="G44" s="1" t="s">
        <v>11</v>
      </c>
    </row>
    <row r="45" spans="1:7" x14ac:dyDescent="0.3">
      <c r="A45" s="1" t="s">
        <v>78</v>
      </c>
      <c r="B45" s="3">
        <v>913853</v>
      </c>
      <c r="C45" s="2">
        <v>33234</v>
      </c>
      <c r="D45" s="4">
        <f t="shared" ca="1" si="0"/>
        <v>35</v>
      </c>
      <c r="E45" s="1" t="s">
        <v>27</v>
      </c>
      <c r="F45" s="5">
        <v>9400</v>
      </c>
      <c r="G45" s="1" t="s">
        <v>6</v>
      </c>
    </row>
    <row r="46" spans="1:7" x14ac:dyDescent="0.3">
      <c r="A46" s="1" t="s">
        <v>79</v>
      </c>
      <c r="B46" s="3">
        <v>429239</v>
      </c>
      <c r="C46" s="2">
        <v>36216</v>
      </c>
      <c r="D46" s="4">
        <f t="shared" ca="1" si="0"/>
        <v>27</v>
      </c>
      <c r="E46" s="1" t="s">
        <v>32</v>
      </c>
      <c r="F46" s="5">
        <v>14900</v>
      </c>
      <c r="G46" s="1" t="s">
        <v>13</v>
      </c>
    </row>
    <row r="47" spans="1:7" x14ac:dyDescent="0.3">
      <c r="A47" s="1" t="s">
        <v>80</v>
      </c>
      <c r="B47" s="3">
        <v>904945</v>
      </c>
      <c r="C47" s="2">
        <v>30553</v>
      </c>
      <c r="D47" s="4">
        <f t="shared" ca="1" si="0"/>
        <v>42</v>
      </c>
      <c r="E47" s="1" t="s">
        <v>29</v>
      </c>
      <c r="F47" s="5">
        <v>5000</v>
      </c>
      <c r="G47" s="1" t="s">
        <v>26</v>
      </c>
    </row>
    <row r="48" spans="1:7" x14ac:dyDescent="0.3">
      <c r="A48" s="1" t="s">
        <v>81</v>
      </c>
      <c r="B48" s="3">
        <v>139606</v>
      </c>
      <c r="C48" s="2">
        <v>32852</v>
      </c>
      <c r="D48" s="4">
        <f t="shared" ca="1" si="0"/>
        <v>36</v>
      </c>
      <c r="E48" s="1" t="s">
        <v>31</v>
      </c>
      <c r="F48" s="5">
        <v>12500</v>
      </c>
      <c r="G48" s="1" t="s">
        <v>6</v>
      </c>
    </row>
    <row r="49" spans="1:7" x14ac:dyDescent="0.3">
      <c r="A49" s="1" t="s">
        <v>82</v>
      </c>
      <c r="B49" s="3">
        <v>144311</v>
      </c>
      <c r="C49" s="2">
        <v>30002</v>
      </c>
      <c r="D49" s="4">
        <f t="shared" ca="1" si="0"/>
        <v>44</v>
      </c>
      <c r="E49" s="1" t="s">
        <v>31</v>
      </c>
      <c r="F49" s="5">
        <v>11700</v>
      </c>
      <c r="G49" s="1" t="s">
        <v>5</v>
      </c>
    </row>
    <row r="50" spans="1:7" x14ac:dyDescent="0.3">
      <c r="A50" s="1" t="s">
        <v>83</v>
      </c>
      <c r="B50" s="3">
        <v>237645</v>
      </c>
      <c r="C50" s="2">
        <v>28510</v>
      </c>
      <c r="D50" s="4">
        <f t="shared" ca="1" si="0"/>
        <v>48</v>
      </c>
      <c r="E50" s="1" t="s">
        <v>29</v>
      </c>
      <c r="F50" s="5">
        <v>11000</v>
      </c>
      <c r="G50" s="1" t="s">
        <v>18</v>
      </c>
    </row>
    <row r="51" spans="1:7" x14ac:dyDescent="0.3">
      <c r="A51" s="1" t="s">
        <v>84</v>
      </c>
      <c r="B51" s="3">
        <v>342109</v>
      </c>
      <c r="C51" s="2">
        <v>31857</v>
      </c>
      <c r="D51" s="4">
        <f t="shared" ca="1" si="0"/>
        <v>39</v>
      </c>
      <c r="E51" s="1" t="s">
        <v>27</v>
      </c>
      <c r="F51" s="5">
        <v>5200</v>
      </c>
      <c r="G51" s="1" t="s">
        <v>22</v>
      </c>
    </row>
    <row r="52" spans="1:7" x14ac:dyDescent="0.3">
      <c r="A52" s="1" t="s">
        <v>85</v>
      </c>
      <c r="B52" s="3">
        <v>653908</v>
      </c>
      <c r="C52" s="2">
        <v>35956</v>
      </c>
      <c r="D52" s="4">
        <f t="shared" ca="1" si="0"/>
        <v>28</v>
      </c>
      <c r="E52" s="1" t="s">
        <v>27</v>
      </c>
      <c r="F52" s="5">
        <v>14400</v>
      </c>
      <c r="G52" s="1" t="s">
        <v>24</v>
      </c>
    </row>
    <row r="53" spans="1:7" x14ac:dyDescent="0.3">
      <c r="A53" s="1" t="s">
        <v>86</v>
      </c>
      <c r="B53" s="3">
        <v>453149</v>
      </c>
      <c r="C53" s="2">
        <v>35550</v>
      </c>
      <c r="D53" s="4">
        <f t="shared" ca="1" si="0"/>
        <v>29</v>
      </c>
      <c r="E53" s="1" t="s">
        <v>32</v>
      </c>
      <c r="F53" s="5">
        <v>5000</v>
      </c>
      <c r="G53" s="1" t="s">
        <v>23</v>
      </c>
    </row>
    <row r="54" spans="1:7" x14ac:dyDescent="0.3">
      <c r="A54" s="1" t="s">
        <v>87</v>
      </c>
      <c r="B54" s="3">
        <v>939824</v>
      </c>
      <c r="C54" s="2">
        <v>29167</v>
      </c>
      <c r="D54" s="4">
        <f t="shared" ca="1" si="0"/>
        <v>46</v>
      </c>
      <c r="E54" s="1" t="s">
        <v>28</v>
      </c>
      <c r="F54" s="5">
        <v>13600</v>
      </c>
      <c r="G54" s="1" t="s">
        <v>6</v>
      </c>
    </row>
    <row r="55" spans="1:7" x14ac:dyDescent="0.3">
      <c r="A55" s="1" t="s">
        <v>88</v>
      </c>
      <c r="B55" s="3">
        <v>858413</v>
      </c>
      <c r="C55" s="2">
        <v>27409</v>
      </c>
      <c r="D55" s="4">
        <f t="shared" ca="1" si="0"/>
        <v>51</v>
      </c>
      <c r="E55" s="1" t="s">
        <v>30</v>
      </c>
      <c r="F55" s="5">
        <v>9400</v>
      </c>
      <c r="G55" s="1" t="s">
        <v>12</v>
      </c>
    </row>
    <row r="56" spans="1:7" x14ac:dyDescent="0.3">
      <c r="A56" s="1" t="s">
        <v>89</v>
      </c>
      <c r="B56" s="3">
        <v>533955</v>
      </c>
      <c r="C56" s="2">
        <v>30261</v>
      </c>
      <c r="D56" s="4">
        <f t="shared" ca="1" si="0"/>
        <v>43</v>
      </c>
      <c r="E56" s="1" t="s">
        <v>33</v>
      </c>
      <c r="F56" s="5">
        <v>10000</v>
      </c>
      <c r="G56" s="1" t="s">
        <v>10</v>
      </c>
    </row>
    <row r="57" spans="1:7" x14ac:dyDescent="0.3">
      <c r="A57" s="1" t="s">
        <v>90</v>
      </c>
      <c r="B57" s="3">
        <v>815434</v>
      </c>
      <c r="C57" s="2">
        <v>31836</v>
      </c>
      <c r="D57" s="4">
        <f t="shared" ca="1" si="0"/>
        <v>39</v>
      </c>
      <c r="E57" s="1" t="s">
        <v>29</v>
      </c>
      <c r="F57" s="5">
        <v>9600</v>
      </c>
      <c r="G57" s="1" t="s">
        <v>25</v>
      </c>
    </row>
    <row r="58" spans="1:7" x14ac:dyDescent="0.3">
      <c r="A58" s="1" t="s">
        <v>91</v>
      </c>
      <c r="B58" s="3">
        <v>724401</v>
      </c>
      <c r="C58" s="2">
        <v>34712</v>
      </c>
      <c r="D58" s="4">
        <f t="shared" ca="1" si="0"/>
        <v>31</v>
      </c>
      <c r="E58" s="1" t="s">
        <v>30</v>
      </c>
      <c r="F58" s="5">
        <v>7000</v>
      </c>
      <c r="G58" s="1" t="s">
        <v>19</v>
      </c>
    </row>
    <row r="59" spans="1:7" x14ac:dyDescent="0.3">
      <c r="A59" s="1" t="s">
        <v>92</v>
      </c>
      <c r="B59" s="3">
        <v>255134</v>
      </c>
      <c r="C59" s="2">
        <v>28120</v>
      </c>
      <c r="D59" s="4">
        <f t="shared" ca="1" si="0"/>
        <v>49</v>
      </c>
      <c r="E59" s="1" t="s">
        <v>31</v>
      </c>
      <c r="F59" s="5">
        <v>4000</v>
      </c>
      <c r="G59" s="1" t="s">
        <v>20</v>
      </c>
    </row>
    <row r="60" spans="1:7" x14ac:dyDescent="0.3">
      <c r="A60" s="1" t="s">
        <v>93</v>
      </c>
      <c r="B60" s="3">
        <v>903948</v>
      </c>
      <c r="C60" s="2">
        <v>25672</v>
      </c>
      <c r="D60" s="4">
        <f t="shared" ca="1" si="0"/>
        <v>56</v>
      </c>
      <c r="E60" s="1" t="s">
        <v>28</v>
      </c>
      <c r="F60" s="5">
        <v>9500</v>
      </c>
      <c r="G60" s="1" t="s">
        <v>26</v>
      </c>
    </row>
    <row r="61" spans="1:7" x14ac:dyDescent="0.3">
      <c r="A61" s="1" t="s">
        <v>94</v>
      </c>
      <c r="B61" s="3">
        <v>843736</v>
      </c>
      <c r="C61" s="2">
        <v>32925</v>
      </c>
      <c r="D61" s="4">
        <f t="shared" ca="1" si="0"/>
        <v>36</v>
      </c>
      <c r="E61" s="1" t="s">
        <v>31</v>
      </c>
      <c r="F61" s="5">
        <v>14300</v>
      </c>
      <c r="G61" s="1" t="s">
        <v>13</v>
      </c>
    </row>
    <row r="62" spans="1:7" x14ac:dyDescent="0.3">
      <c r="A62" s="1" t="s">
        <v>95</v>
      </c>
      <c r="B62" s="3">
        <v>733756</v>
      </c>
      <c r="C62" s="2">
        <v>26242</v>
      </c>
      <c r="D62" s="4">
        <f t="shared" ca="1" si="0"/>
        <v>54</v>
      </c>
      <c r="E62" s="1" t="s">
        <v>29</v>
      </c>
      <c r="F62" s="5">
        <v>11900</v>
      </c>
      <c r="G62" s="1" t="s">
        <v>6</v>
      </c>
    </row>
    <row r="63" spans="1:7" x14ac:dyDescent="0.3">
      <c r="A63" s="1" t="s">
        <v>96</v>
      </c>
      <c r="B63" s="3">
        <v>821142</v>
      </c>
      <c r="C63" s="2">
        <v>29713</v>
      </c>
      <c r="D63" s="4">
        <f t="shared" ca="1" si="0"/>
        <v>45</v>
      </c>
      <c r="E63" s="1" t="s">
        <v>31</v>
      </c>
      <c r="F63" s="5">
        <v>5800</v>
      </c>
      <c r="G63" s="1" t="s">
        <v>21</v>
      </c>
    </row>
    <row r="64" spans="1:7" x14ac:dyDescent="0.3">
      <c r="A64" s="1" t="s">
        <v>97</v>
      </c>
      <c r="B64" s="3">
        <v>844321</v>
      </c>
      <c r="C64" s="2">
        <v>24895</v>
      </c>
      <c r="D64" s="4">
        <f t="shared" ca="1" si="0"/>
        <v>58</v>
      </c>
      <c r="E64" s="1" t="s">
        <v>30</v>
      </c>
      <c r="F64" s="5">
        <v>7000</v>
      </c>
      <c r="G64" s="1" t="s">
        <v>20</v>
      </c>
    </row>
    <row r="65" spans="1:7" x14ac:dyDescent="0.3">
      <c r="A65" s="1" t="s">
        <v>98</v>
      </c>
      <c r="B65" s="3">
        <v>912346</v>
      </c>
      <c r="C65" s="2">
        <v>34395</v>
      </c>
      <c r="D65" s="4">
        <f t="shared" ca="1" si="0"/>
        <v>32</v>
      </c>
      <c r="E65" s="1" t="s">
        <v>28</v>
      </c>
      <c r="F65" s="5">
        <v>4700</v>
      </c>
      <c r="G65" s="1" t="s">
        <v>8</v>
      </c>
    </row>
    <row r="66" spans="1:7" x14ac:dyDescent="0.3">
      <c r="A66" s="1" t="s">
        <v>99</v>
      </c>
      <c r="B66" s="3">
        <v>539234</v>
      </c>
      <c r="C66" s="2">
        <v>30463</v>
      </c>
      <c r="D66" s="4">
        <f t="shared" ca="1" si="0"/>
        <v>43</v>
      </c>
      <c r="E66" s="1" t="s">
        <v>32</v>
      </c>
      <c r="F66" s="5">
        <v>13700</v>
      </c>
      <c r="G66" s="1" t="s">
        <v>6</v>
      </c>
    </row>
    <row r="67" spans="1:7" x14ac:dyDescent="0.3">
      <c r="A67" s="1" t="s">
        <v>100</v>
      </c>
      <c r="B67" s="3">
        <v>135947</v>
      </c>
      <c r="C67" s="2">
        <v>36034</v>
      </c>
      <c r="D67" s="4">
        <f t="shared" ref="D67:D98" ca="1" si="1">DATEDIF(C67,TODAY(),"Y")</f>
        <v>27</v>
      </c>
      <c r="E67" s="1" t="s">
        <v>28</v>
      </c>
      <c r="F67" s="5">
        <v>5600</v>
      </c>
      <c r="G67" s="1" t="s">
        <v>23</v>
      </c>
    </row>
    <row r="68" spans="1:7" x14ac:dyDescent="0.3">
      <c r="A68" s="1" t="s">
        <v>101</v>
      </c>
      <c r="B68" s="3">
        <v>356154</v>
      </c>
      <c r="C68" s="2">
        <v>33126</v>
      </c>
      <c r="D68" s="4">
        <f t="shared" ca="1" si="1"/>
        <v>35</v>
      </c>
      <c r="E68" s="1" t="s">
        <v>27</v>
      </c>
      <c r="F68" s="5">
        <v>13900</v>
      </c>
      <c r="G68" s="1" t="s">
        <v>6</v>
      </c>
    </row>
    <row r="69" spans="1:7" x14ac:dyDescent="0.3">
      <c r="A69" s="1" t="s">
        <v>102</v>
      </c>
      <c r="B69" s="3">
        <v>114803</v>
      </c>
      <c r="C69" s="2">
        <v>36292</v>
      </c>
      <c r="D69" s="4">
        <f t="shared" ca="1" si="1"/>
        <v>27</v>
      </c>
      <c r="E69" s="1" t="s">
        <v>31</v>
      </c>
      <c r="F69" s="5">
        <v>14500</v>
      </c>
      <c r="G69" s="1" t="s">
        <v>21</v>
      </c>
    </row>
    <row r="70" spans="1:7" x14ac:dyDescent="0.3">
      <c r="A70" s="1" t="s">
        <v>103</v>
      </c>
      <c r="B70" s="3">
        <v>342333</v>
      </c>
      <c r="C70" s="2">
        <v>36316</v>
      </c>
      <c r="D70" s="4">
        <f t="shared" ca="1" si="1"/>
        <v>27</v>
      </c>
      <c r="E70" s="1" t="s">
        <v>30</v>
      </c>
      <c r="F70" s="5">
        <v>10100</v>
      </c>
      <c r="G70" s="1" t="s">
        <v>25</v>
      </c>
    </row>
    <row r="71" spans="1:7" x14ac:dyDescent="0.3">
      <c r="A71" s="1" t="s">
        <v>104</v>
      </c>
      <c r="B71" s="3">
        <v>412347</v>
      </c>
      <c r="C71" s="2">
        <v>31231</v>
      </c>
      <c r="D71" s="4">
        <f t="shared" ca="1" si="1"/>
        <v>40</v>
      </c>
      <c r="E71" s="1" t="s">
        <v>32</v>
      </c>
      <c r="F71" s="5">
        <v>13900</v>
      </c>
      <c r="G71" s="1" t="s">
        <v>11</v>
      </c>
    </row>
    <row r="72" spans="1:7" x14ac:dyDescent="0.3">
      <c r="A72" s="1" t="s">
        <v>105</v>
      </c>
      <c r="B72" s="3">
        <v>234355</v>
      </c>
      <c r="C72" s="2">
        <v>33108</v>
      </c>
      <c r="D72" s="4">
        <f t="shared" ca="1" si="1"/>
        <v>35</v>
      </c>
      <c r="E72" s="1" t="s">
        <v>29</v>
      </c>
      <c r="F72" s="5">
        <v>5400</v>
      </c>
      <c r="G72" s="1" t="s">
        <v>17</v>
      </c>
    </row>
    <row r="73" spans="1:7" x14ac:dyDescent="0.3">
      <c r="A73" s="1" t="s">
        <v>106</v>
      </c>
      <c r="B73" s="3">
        <v>658843</v>
      </c>
      <c r="C73" s="2">
        <v>26390</v>
      </c>
      <c r="D73" s="4">
        <f t="shared" ca="1" si="1"/>
        <v>54</v>
      </c>
      <c r="E73" s="1" t="s">
        <v>30</v>
      </c>
      <c r="F73" s="5">
        <v>8100</v>
      </c>
      <c r="G73" s="1" t="s">
        <v>9</v>
      </c>
    </row>
    <row r="74" spans="1:7" x14ac:dyDescent="0.3">
      <c r="A74" s="1" t="s">
        <v>107</v>
      </c>
      <c r="B74" s="3">
        <v>458618</v>
      </c>
      <c r="C74" s="2">
        <v>27227</v>
      </c>
      <c r="D74" s="4">
        <f t="shared" ca="1" si="1"/>
        <v>51</v>
      </c>
      <c r="E74" s="1" t="s">
        <v>31</v>
      </c>
      <c r="F74" s="5">
        <v>11600</v>
      </c>
      <c r="G74" s="1" t="s">
        <v>24</v>
      </c>
    </row>
    <row r="75" spans="1:7" x14ac:dyDescent="0.3">
      <c r="A75" s="1" t="s">
        <v>108</v>
      </c>
      <c r="B75" s="3">
        <v>714629</v>
      </c>
      <c r="C75" s="2">
        <v>34598</v>
      </c>
      <c r="D75" s="4">
        <f t="shared" ca="1" si="1"/>
        <v>31</v>
      </c>
      <c r="E75" s="1" t="s">
        <v>29</v>
      </c>
      <c r="F75" s="5">
        <v>14100</v>
      </c>
      <c r="G75" s="1" t="s">
        <v>15</v>
      </c>
    </row>
    <row r="76" spans="1:7" x14ac:dyDescent="0.3">
      <c r="A76" s="1" t="s">
        <v>109</v>
      </c>
      <c r="B76" s="3">
        <v>307552</v>
      </c>
      <c r="C76" s="2">
        <v>29013</v>
      </c>
      <c r="D76" s="4">
        <f t="shared" ca="1" si="1"/>
        <v>47</v>
      </c>
      <c r="E76" s="1" t="s">
        <v>27</v>
      </c>
      <c r="F76" s="5">
        <v>14600</v>
      </c>
      <c r="G76" s="1" t="s">
        <v>9</v>
      </c>
    </row>
    <row r="77" spans="1:7" x14ac:dyDescent="0.3">
      <c r="A77" s="1" t="s">
        <v>110</v>
      </c>
      <c r="B77" s="3">
        <v>405507</v>
      </c>
      <c r="C77" s="2">
        <v>36489</v>
      </c>
      <c r="D77" s="4">
        <f t="shared" ca="1" si="1"/>
        <v>26</v>
      </c>
      <c r="E77" s="1" t="s">
        <v>30</v>
      </c>
      <c r="F77" s="5">
        <v>9300</v>
      </c>
      <c r="G77" s="1" t="s">
        <v>11</v>
      </c>
    </row>
    <row r="78" spans="1:7" x14ac:dyDescent="0.3">
      <c r="A78" s="1" t="s">
        <v>111</v>
      </c>
      <c r="B78" s="3">
        <v>109646</v>
      </c>
      <c r="C78" s="2">
        <v>35699</v>
      </c>
      <c r="D78" s="4">
        <f t="shared" ca="1" si="1"/>
        <v>28</v>
      </c>
      <c r="E78" s="1" t="s">
        <v>30</v>
      </c>
      <c r="F78" s="5">
        <v>9400</v>
      </c>
      <c r="G78" s="1" t="s">
        <v>16</v>
      </c>
    </row>
    <row r="79" spans="1:7" x14ac:dyDescent="0.3">
      <c r="A79" s="1" t="s">
        <v>112</v>
      </c>
      <c r="B79" s="3">
        <v>315601</v>
      </c>
      <c r="C79" s="2">
        <v>33998</v>
      </c>
      <c r="D79" s="4">
        <f t="shared" ca="1" si="1"/>
        <v>33</v>
      </c>
      <c r="E79" s="1" t="s">
        <v>30</v>
      </c>
      <c r="F79" s="5">
        <v>6400</v>
      </c>
      <c r="G79" s="1" t="s">
        <v>26</v>
      </c>
    </row>
    <row r="80" spans="1:7" x14ac:dyDescent="0.3">
      <c r="A80" s="1" t="s">
        <v>113</v>
      </c>
      <c r="B80" s="3">
        <v>146417</v>
      </c>
      <c r="C80" s="2">
        <v>29624</v>
      </c>
      <c r="D80" s="4">
        <f t="shared" ca="1" si="1"/>
        <v>45</v>
      </c>
      <c r="E80" s="1" t="s">
        <v>29</v>
      </c>
      <c r="F80" s="5">
        <v>3800</v>
      </c>
      <c r="G80" s="1" t="s">
        <v>10</v>
      </c>
    </row>
    <row r="81" spans="1:7" x14ac:dyDescent="0.3">
      <c r="A81" s="1" t="s">
        <v>114</v>
      </c>
      <c r="B81" s="3">
        <v>756331</v>
      </c>
      <c r="C81" s="2">
        <v>34458</v>
      </c>
      <c r="D81" s="4">
        <f t="shared" ca="1" si="1"/>
        <v>32</v>
      </c>
      <c r="E81" s="1" t="s">
        <v>31</v>
      </c>
      <c r="F81" s="5">
        <v>10700</v>
      </c>
      <c r="G81" s="1" t="s">
        <v>6</v>
      </c>
    </row>
    <row r="82" spans="1:7" x14ac:dyDescent="0.3">
      <c r="A82" s="1" t="s">
        <v>115</v>
      </c>
      <c r="B82" s="3">
        <v>434332</v>
      </c>
      <c r="C82" s="2">
        <v>32506</v>
      </c>
      <c r="D82" s="4">
        <f t="shared" ca="1" si="1"/>
        <v>37</v>
      </c>
      <c r="E82" s="1" t="s">
        <v>30</v>
      </c>
      <c r="F82" s="5">
        <v>8200</v>
      </c>
      <c r="G82" s="1" t="s">
        <v>19</v>
      </c>
    </row>
    <row r="83" spans="1:7" x14ac:dyDescent="0.3">
      <c r="A83" s="1" t="s">
        <v>116</v>
      </c>
      <c r="B83" s="3">
        <v>341908</v>
      </c>
      <c r="C83" s="2">
        <v>34041</v>
      </c>
      <c r="D83" s="4">
        <f t="shared" ca="1" si="1"/>
        <v>33</v>
      </c>
      <c r="E83" s="1" t="s">
        <v>29</v>
      </c>
      <c r="F83" s="5">
        <v>8300</v>
      </c>
      <c r="G83" s="1" t="s">
        <v>11</v>
      </c>
    </row>
    <row r="84" spans="1:7" x14ac:dyDescent="0.3">
      <c r="A84" s="1" t="s">
        <v>117</v>
      </c>
      <c r="B84" s="3">
        <v>649908</v>
      </c>
      <c r="C84" s="2">
        <v>30965</v>
      </c>
      <c r="D84" s="4">
        <f t="shared" ca="1" si="1"/>
        <v>41</v>
      </c>
      <c r="E84" s="1" t="s">
        <v>28</v>
      </c>
      <c r="F84" s="5">
        <v>12900</v>
      </c>
      <c r="G84" s="1" t="s">
        <v>18</v>
      </c>
    </row>
    <row r="85" spans="1:7" x14ac:dyDescent="0.3">
      <c r="A85" s="1" t="s">
        <v>118</v>
      </c>
      <c r="B85" s="3">
        <v>829554</v>
      </c>
      <c r="C85" s="2">
        <v>34823</v>
      </c>
      <c r="D85" s="4">
        <f t="shared" ca="1" si="1"/>
        <v>31</v>
      </c>
      <c r="E85" s="1" t="s">
        <v>29</v>
      </c>
      <c r="F85" s="5">
        <v>6600</v>
      </c>
      <c r="G85" s="1" t="s">
        <v>19</v>
      </c>
    </row>
    <row r="86" spans="1:7" x14ac:dyDescent="0.3">
      <c r="A86" s="1" t="s">
        <v>119</v>
      </c>
      <c r="B86" s="3">
        <v>932655</v>
      </c>
      <c r="C86" s="2">
        <v>25686</v>
      </c>
      <c r="D86" s="4">
        <f t="shared" ca="1" si="1"/>
        <v>56</v>
      </c>
      <c r="E86" s="1" t="s">
        <v>27</v>
      </c>
      <c r="F86" s="5">
        <v>6100</v>
      </c>
      <c r="G86" s="1" t="s">
        <v>6</v>
      </c>
    </row>
    <row r="87" spans="1:7" x14ac:dyDescent="0.3">
      <c r="A87" s="1" t="s">
        <v>120</v>
      </c>
      <c r="B87" s="3">
        <v>439104</v>
      </c>
      <c r="C87" s="2">
        <v>32668</v>
      </c>
      <c r="D87" s="4">
        <f t="shared" ca="1" si="1"/>
        <v>37</v>
      </c>
      <c r="E87" s="1" t="s">
        <v>29</v>
      </c>
      <c r="F87" s="5">
        <v>4600</v>
      </c>
      <c r="G87" s="1" t="s">
        <v>8</v>
      </c>
    </row>
    <row r="88" spans="1:7" x14ac:dyDescent="0.3">
      <c r="A88" s="1" t="s">
        <v>121</v>
      </c>
      <c r="B88" s="3">
        <v>122806</v>
      </c>
      <c r="C88" s="2">
        <v>33188</v>
      </c>
      <c r="D88" s="4">
        <f t="shared" ca="1" si="1"/>
        <v>35</v>
      </c>
      <c r="E88" s="1" t="s">
        <v>29</v>
      </c>
      <c r="F88" s="5">
        <v>14900</v>
      </c>
      <c r="G88" s="1" t="s">
        <v>26</v>
      </c>
    </row>
    <row r="89" spans="1:7" x14ac:dyDescent="0.3">
      <c r="A89" s="1" t="s">
        <v>122</v>
      </c>
      <c r="B89" s="3">
        <v>845658</v>
      </c>
      <c r="C89" s="2">
        <v>31193</v>
      </c>
      <c r="D89" s="4">
        <f t="shared" ca="1" si="1"/>
        <v>41</v>
      </c>
      <c r="E89" s="1" t="s">
        <v>32</v>
      </c>
      <c r="F89" s="5">
        <v>9800</v>
      </c>
      <c r="G89" s="1" t="s">
        <v>9</v>
      </c>
    </row>
    <row r="90" spans="1:7" x14ac:dyDescent="0.3">
      <c r="A90" s="1" t="s">
        <v>123</v>
      </c>
      <c r="B90" s="3">
        <v>256939</v>
      </c>
      <c r="C90" s="2">
        <v>36817</v>
      </c>
      <c r="D90" s="4">
        <f t="shared" ca="1" si="1"/>
        <v>25</v>
      </c>
      <c r="E90" s="1" t="s">
        <v>30</v>
      </c>
      <c r="F90" s="5">
        <v>14500</v>
      </c>
      <c r="G90" s="1" t="s">
        <v>6</v>
      </c>
    </row>
    <row r="91" spans="1:7" x14ac:dyDescent="0.3">
      <c r="A91" s="1" t="s">
        <v>124</v>
      </c>
      <c r="B91" s="3">
        <v>903712</v>
      </c>
      <c r="C91" s="2">
        <v>32809</v>
      </c>
      <c r="D91" s="4">
        <f t="shared" ca="1" si="1"/>
        <v>36</v>
      </c>
      <c r="E91" s="1" t="s">
        <v>29</v>
      </c>
      <c r="F91" s="5">
        <v>14500</v>
      </c>
      <c r="G91" s="1" t="s">
        <v>21</v>
      </c>
    </row>
    <row r="92" spans="1:7" x14ac:dyDescent="0.3">
      <c r="A92" s="1" t="s">
        <v>125</v>
      </c>
      <c r="B92" s="3">
        <v>155634</v>
      </c>
      <c r="C92" s="2">
        <v>30501</v>
      </c>
      <c r="D92" s="4">
        <f t="shared" ca="1" si="1"/>
        <v>42</v>
      </c>
      <c r="E92" s="1" t="s">
        <v>29</v>
      </c>
      <c r="F92" s="5">
        <v>3800</v>
      </c>
      <c r="G92" s="1" t="s">
        <v>5</v>
      </c>
    </row>
    <row r="93" spans="1:7" x14ac:dyDescent="0.3">
      <c r="A93" s="1" t="s">
        <v>126</v>
      </c>
      <c r="B93" s="3">
        <v>432555</v>
      </c>
      <c r="C93" s="2">
        <v>27978</v>
      </c>
      <c r="D93" s="4">
        <f t="shared" ca="1" si="1"/>
        <v>49</v>
      </c>
      <c r="E93" s="1" t="s">
        <v>31</v>
      </c>
      <c r="F93" s="5">
        <v>10200</v>
      </c>
      <c r="G93" s="1" t="s">
        <v>6</v>
      </c>
    </row>
    <row r="94" spans="1:7" x14ac:dyDescent="0.3">
      <c r="A94" s="1" t="s">
        <v>127</v>
      </c>
      <c r="B94" s="3">
        <v>432845</v>
      </c>
      <c r="C94" s="2">
        <v>29012</v>
      </c>
      <c r="D94" s="4">
        <f t="shared" ca="1" si="1"/>
        <v>47</v>
      </c>
      <c r="E94" s="1" t="s">
        <v>31</v>
      </c>
      <c r="F94" s="5">
        <v>14900</v>
      </c>
      <c r="G94" s="1" t="s">
        <v>14</v>
      </c>
    </row>
    <row r="95" spans="1:7" x14ac:dyDescent="0.3">
      <c r="A95" s="1" t="s">
        <v>128</v>
      </c>
      <c r="B95" s="3">
        <v>148928</v>
      </c>
      <c r="C95" s="2">
        <v>34421</v>
      </c>
      <c r="D95" s="4">
        <f t="shared" ca="1" si="1"/>
        <v>32</v>
      </c>
      <c r="E95" s="1" t="s">
        <v>31</v>
      </c>
      <c r="F95" s="5">
        <v>4000</v>
      </c>
      <c r="G95" s="1" t="s">
        <v>17</v>
      </c>
    </row>
    <row r="96" spans="1:7" x14ac:dyDescent="0.3">
      <c r="A96" s="1" t="s">
        <v>129</v>
      </c>
      <c r="B96" s="3">
        <v>422346</v>
      </c>
      <c r="C96" s="2">
        <v>24867</v>
      </c>
      <c r="D96" s="4">
        <f t="shared" ca="1" si="1"/>
        <v>58</v>
      </c>
      <c r="E96" s="1" t="s">
        <v>32</v>
      </c>
      <c r="F96" s="5">
        <v>8500</v>
      </c>
      <c r="G96" s="1" t="s">
        <v>19</v>
      </c>
    </row>
    <row r="97" spans="1:7" x14ac:dyDescent="0.3">
      <c r="A97" s="1" t="s">
        <v>130</v>
      </c>
      <c r="B97" s="3">
        <v>956242</v>
      </c>
      <c r="C97" s="2">
        <v>33202</v>
      </c>
      <c r="D97" s="4">
        <f t="shared" ca="1" si="1"/>
        <v>35</v>
      </c>
      <c r="E97" s="1" t="s">
        <v>27</v>
      </c>
      <c r="F97" s="5">
        <v>13700</v>
      </c>
      <c r="G97" s="1" t="s">
        <v>6</v>
      </c>
    </row>
    <row r="98" spans="1:7" x14ac:dyDescent="0.3">
      <c r="A98" s="1" t="s">
        <v>131</v>
      </c>
      <c r="B98" s="3">
        <v>951222</v>
      </c>
      <c r="C98" s="2">
        <v>32215</v>
      </c>
      <c r="D98" s="4">
        <f t="shared" ca="1" si="1"/>
        <v>38</v>
      </c>
      <c r="E98" s="1" t="s">
        <v>30</v>
      </c>
      <c r="F98" s="5">
        <v>14300</v>
      </c>
      <c r="G98" s="1" t="s">
        <v>7</v>
      </c>
    </row>
  </sheetData>
  <dataValidations count="2">
    <dataValidation type="list" allowBlank="1" showInputMessage="1" showErrorMessage="1" sqref="K2 K5">
      <formula1>$A$2:$A$98</formula1>
    </dataValidation>
    <dataValidation type="list" allowBlank="1" showInputMessage="1" showErrorMessage="1" sqref="K8 K11">
      <formula1>$B$2:$B$98</formula1>
    </dataValidation>
  </dataValidations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8"/>
  <sheetViews>
    <sheetView showGridLines="0" zoomScale="120" zoomScaleNormal="120" workbookViewId="0">
      <selection activeCell="F24" sqref="F24"/>
    </sheetView>
  </sheetViews>
  <sheetFormatPr defaultRowHeight="14.4" x14ac:dyDescent="0.3"/>
  <cols>
    <col min="1" max="1" width="20.5546875" customWidth="1"/>
    <col min="2" max="3" width="16.6640625" customWidth="1"/>
    <col min="9" max="10" width="18.5546875" customWidth="1"/>
  </cols>
  <sheetData>
    <row r="1" spans="1:10" x14ac:dyDescent="0.3">
      <c r="A1" s="6" t="s">
        <v>34</v>
      </c>
      <c r="B1" s="6" t="s">
        <v>4</v>
      </c>
      <c r="C1" s="15" t="s">
        <v>136</v>
      </c>
      <c r="I1" s="13" t="s">
        <v>135</v>
      </c>
      <c r="J1" s="13" t="s">
        <v>136</v>
      </c>
    </row>
    <row r="2" spans="1:10" x14ac:dyDescent="0.3">
      <c r="A2" s="1" t="s">
        <v>35</v>
      </c>
      <c r="B2" s="1" t="s">
        <v>6</v>
      </c>
      <c r="C2" s="7" t="str">
        <f>VLOOKUP(B2,I1:J23,2,0)</f>
        <v>Sudeste</v>
      </c>
      <c r="I2" s="8" t="s">
        <v>23</v>
      </c>
      <c r="J2" s="8" t="s">
        <v>138</v>
      </c>
    </row>
    <row r="3" spans="1:10" x14ac:dyDescent="0.3">
      <c r="A3" s="1" t="s">
        <v>36</v>
      </c>
      <c r="B3" s="1" t="s">
        <v>6</v>
      </c>
      <c r="C3" s="7" t="str">
        <f>VLOOKUP(B3,I1:J23,2,0)</f>
        <v>Sudeste</v>
      </c>
      <c r="I3" s="8" t="s">
        <v>16</v>
      </c>
      <c r="J3" s="8" t="s">
        <v>137</v>
      </c>
    </row>
    <row r="4" spans="1:10" x14ac:dyDescent="0.3">
      <c r="A4" s="1" t="s">
        <v>37</v>
      </c>
      <c r="B4" s="1" t="s">
        <v>7</v>
      </c>
      <c r="C4" s="7" t="str">
        <f>VLOOKUP(B4,I1:J23,2,0)</f>
        <v>Sul</v>
      </c>
      <c r="I4" s="8" t="s">
        <v>12</v>
      </c>
      <c r="J4" s="8" t="s">
        <v>137</v>
      </c>
    </row>
    <row r="5" spans="1:10" x14ac:dyDescent="0.3">
      <c r="A5" s="1" t="s">
        <v>38</v>
      </c>
      <c r="B5" s="1" t="s">
        <v>8</v>
      </c>
      <c r="C5" s="7" t="str">
        <f t="shared" ref="C5:C22" si="0">VLOOKUP(B5,I2:J24,2,0)</f>
        <v>Centro-Oeste</v>
      </c>
      <c r="I5" s="8" t="s">
        <v>10</v>
      </c>
      <c r="J5" s="8" t="s">
        <v>138</v>
      </c>
    </row>
    <row r="6" spans="1:10" x14ac:dyDescent="0.3">
      <c r="A6" s="1" t="s">
        <v>39</v>
      </c>
      <c r="B6" s="1" t="s">
        <v>6</v>
      </c>
      <c r="C6" s="7" t="str">
        <f t="shared" si="0"/>
        <v>Sudeste</v>
      </c>
      <c r="I6" s="8" t="s">
        <v>20</v>
      </c>
      <c r="J6" s="8" t="s">
        <v>138</v>
      </c>
    </row>
    <row r="7" spans="1:10" x14ac:dyDescent="0.3">
      <c r="A7" s="1" t="s">
        <v>40</v>
      </c>
      <c r="B7" s="1" t="s">
        <v>9</v>
      </c>
      <c r="C7" s="7" t="str">
        <f t="shared" si="0"/>
        <v>Sudeste</v>
      </c>
      <c r="I7" s="8" t="s">
        <v>8</v>
      </c>
      <c r="J7" s="8" t="s">
        <v>139</v>
      </c>
    </row>
    <row r="8" spans="1:10" x14ac:dyDescent="0.3">
      <c r="A8" s="1" t="s">
        <v>41</v>
      </c>
      <c r="B8" s="1" t="s">
        <v>10</v>
      </c>
      <c r="C8" s="7" t="str">
        <f t="shared" si="0"/>
        <v>Nordeste</v>
      </c>
      <c r="I8" s="8" t="s">
        <v>5</v>
      </c>
      <c r="J8" s="8" t="s">
        <v>140</v>
      </c>
    </row>
    <row r="9" spans="1:10" x14ac:dyDescent="0.3">
      <c r="A9" s="1" t="s">
        <v>42</v>
      </c>
      <c r="B9" s="1" t="s">
        <v>11</v>
      </c>
      <c r="C9" s="7" t="str">
        <f t="shared" si="0"/>
        <v>Nordeste</v>
      </c>
      <c r="I9" s="8" t="s">
        <v>18</v>
      </c>
      <c r="J9" s="8" t="s">
        <v>139</v>
      </c>
    </row>
    <row r="10" spans="1:10" x14ac:dyDescent="0.3">
      <c r="A10" s="1" t="s">
        <v>43</v>
      </c>
      <c r="B10" s="1" t="s">
        <v>12</v>
      </c>
      <c r="C10" s="7" t="str">
        <f>VLOOKUP(B10,I1:J23,2,0)</f>
        <v>Norte</v>
      </c>
      <c r="I10" s="8" t="s">
        <v>19</v>
      </c>
      <c r="J10" s="8" t="s">
        <v>138</v>
      </c>
    </row>
    <row r="11" spans="1:10" x14ac:dyDescent="0.3">
      <c r="A11" s="1" t="s">
        <v>44</v>
      </c>
      <c r="B11" s="1" t="s">
        <v>6</v>
      </c>
      <c r="C11" s="7" t="str">
        <f t="shared" ref="C11:C17" si="1">VLOOKUP(B11,I2:J24,2,0)</f>
        <v>Sudeste</v>
      </c>
      <c r="I11" s="8" t="s">
        <v>22</v>
      </c>
      <c r="J11" s="8" t="s">
        <v>139</v>
      </c>
    </row>
    <row r="12" spans="1:10" x14ac:dyDescent="0.3">
      <c r="A12" s="1" t="s">
        <v>45</v>
      </c>
      <c r="B12" s="1" t="s">
        <v>13</v>
      </c>
      <c r="C12" s="7" t="str">
        <f t="shared" si="1"/>
        <v>Norte</v>
      </c>
      <c r="I12" s="8" t="s">
        <v>26</v>
      </c>
      <c r="J12" s="8" t="s">
        <v>140</v>
      </c>
    </row>
    <row r="13" spans="1:10" x14ac:dyDescent="0.3">
      <c r="A13" s="1" t="s">
        <v>46</v>
      </c>
      <c r="B13" s="1" t="s">
        <v>5</v>
      </c>
      <c r="C13" s="7" t="str">
        <f>VLOOKUP(B13,I4:J26,2,0)</f>
        <v>Sudeste</v>
      </c>
      <c r="I13" s="8" t="s">
        <v>21</v>
      </c>
      <c r="J13" s="8" t="s">
        <v>137</v>
      </c>
    </row>
    <row r="14" spans="1:10" x14ac:dyDescent="0.3">
      <c r="A14" s="1" t="s">
        <v>47</v>
      </c>
      <c r="B14" s="1" t="s">
        <v>14</v>
      </c>
      <c r="C14" s="7" t="str">
        <f t="shared" si="1"/>
        <v>Nordeste</v>
      </c>
      <c r="I14" s="8" t="s">
        <v>14</v>
      </c>
      <c r="J14" s="8" t="s">
        <v>138</v>
      </c>
    </row>
    <row r="15" spans="1:10" x14ac:dyDescent="0.3">
      <c r="A15" s="1" t="s">
        <v>48</v>
      </c>
      <c r="B15" s="1" t="s">
        <v>15</v>
      </c>
      <c r="C15" s="7" t="str">
        <f>VLOOKUP(B15,I6:J28,2,0)</f>
        <v>Norte</v>
      </c>
      <c r="I15" s="8" t="s">
        <v>17</v>
      </c>
      <c r="J15" s="8" t="s">
        <v>141</v>
      </c>
    </row>
    <row r="16" spans="1:10" x14ac:dyDescent="0.3">
      <c r="A16" s="1" t="s">
        <v>49</v>
      </c>
      <c r="B16" s="1" t="s">
        <v>5</v>
      </c>
      <c r="C16" s="7" t="str">
        <f t="shared" si="1"/>
        <v>Sudeste</v>
      </c>
      <c r="I16" s="8" t="s">
        <v>11</v>
      </c>
      <c r="J16" s="8" t="s">
        <v>138</v>
      </c>
    </row>
    <row r="17" spans="1:10" x14ac:dyDescent="0.3">
      <c r="A17" s="1" t="s">
        <v>50</v>
      </c>
      <c r="B17" s="1" t="s">
        <v>16</v>
      </c>
      <c r="C17" s="7" t="str">
        <f>VLOOKUP(B17,I1:J23,2,0)</f>
        <v>Norte</v>
      </c>
      <c r="I17" s="8" t="s">
        <v>25</v>
      </c>
      <c r="J17" s="8" t="s">
        <v>138</v>
      </c>
    </row>
    <row r="18" spans="1:10" x14ac:dyDescent="0.3">
      <c r="A18" s="1" t="s">
        <v>51</v>
      </c>
      <c r="B18" s="1" t="s">
        <v>17</v>
      </c>
      <c r="C18" s="7" t="str">
        <f t="shared" ref="C18:C64" si="2">VLOOKUP(B18,I2:J24,2,0)</f>
        <v>Sul</v>
      </c>
      <c r="I18" s="8" t="s">
        <v>6</v>
      </c>
      <c r="J18" s="8" t="s">
        <v>140</v>
      </c>
    </row>
    <row r="19" spans="1:10" x14ac:dyDescent="0.3">
      <c r="A19" s="1" t="s">
        <v>52</v>
      </c>
      <c r="B19" s="1" t="s">
        <v>18</v>
      </c>
      <c r="C19" s="7" t="str">
        <f t="shared" si="2"/>
        <v>Centro-Oeste</v>
      </c>
      <c r="I19" s="8" t="s">
        <v>15</v>
      </c>
      <c r="J19" s="8" t="s">
        <v>137</v>
      </c>
    </row>
    <row r="20" spans="1:10" x14ac:dyDescent="0.3">
      <c r="A20" s="1" t="s">
        <v>53</v>
      </c>
      <c r="B20" s="1" t="s">
        <v>19</v>
      </c>
      <c r="C20" s="7" t="str">
        <f>VLOOKUP(B20,I4:J26,2,0)</f>
        <v>Nordeste</v>
      </c>
      <c r="I20" s="8" t="s">
        <v>7</v>
      </c>
      <c r="J20" s="8" t="s">
        <v>141</v>
      </c>
    </row>
    <row r="21" spans="1:10" x14ac:dyDescent="0.3">
      <c r="A21" s="1" t="s">
        <v>54</v>
      </c>
      <c r="B21" s="1" t="s">
        <v>9</v>
      </c>
      <c r="C21" s="7" t="str">
        <f t="shared" si="2"/>
        <v>Sudeste</v>
      </c>
      <c r="I21" s="8" t="s">
        <v>9</v>
      </c>
      <c r="J21" s="8" t="s">
        <v>140</v>
      </c>
    </row>
    <row r="22" spans="1:10" x14ac:dyDescent="0.3">
      <c r="A22" s="1" t="s">
        <v>55</v>
      </c>
      <c r="B22" s="1" t="s">
        <v>6</v>
      </c>
      <c r="C22" s="7" t="str">
        <f t="shared" si="2"/>
        <v>Sudeste</v>
      </c>
      <c r="I22" s="8" t="s">
        <v>24</v>
      </c>
      <c r="J22" s="8" t="s">
        <v>138</v>
      </c>
    </row>
    <row r="23" spans="1:10" x14ac:dyDescent="0.3">
      <c r="A23" s="1" t="s">
        <v>56</v>
      </c>
      <c r="B23" s="1" t="s">
        <v>7</v>
      </c>
      <c r="C23" s="7" t="str">
        <f>VLOOKUP(B23,I7:J29,2,0)</f>
        <v>Sul</v>
      </c>
      <c r="I23" s="8" t="s">
        <v>13</v>
      </c>
      <c r="J23" s="8" t="s">
        <v>137</v>
      </c>
    </row>
    <row r="24" spans="1:10" x14ac:dyDescent="0.3">
      <c r="A24" s="1" t="s">
        <v>57</v>
      </c>
      <c r="B24" s="1" t="s">
        <v>20</v>
      </c>
      <c r="C24" s="7" t="str">
        <f>VLOOKUP(B24,I1:J23,2,0)</f>
        <v>Nordeste</v>
      </c>
      <c r="I24" s="8"/>
      <c r="J24" s="8"/>
    </row>
    <row r="25" spans="1:10" x14ac:dyDescent="0.3">
      <c r="A25" s="1" t="s">
        <v>58</v>
      </c>
      <c r="B25" s="1" t="s">
        <v>21</v>
      </c>
      <c r="C25" s="7" t="str">
        <f t="shared" si="2"/>
        <v>Norte</v>
      </c>
      <c r="I25" s="8"/>
      <c r="J25" s="8"/>
    </row>
    <row r="26" spans="1:10" x14ac:dyDescent="0.3">
      <c r="A26" s="1" t="s">
        <v>59</v>
      </c>
      <c r="B26" s="1" t="s">
        <v>18</v>
      </c>
      <c r="C26" s="7" t="str">
        <f>VLOOKUP(B26,I1:J23,2,0)</f>
        <v>Centro-Oeste</v>
      </c>
      <c r="I26" s="8"/>
      <c r="J26" s="8"/>
    </row>
    <row r="27" spans="1:10" x14ac:dyDescent="0.3">
      <c r="A27" s="1" t="s">
        <v>60</v>
      </c>
      <c r="B27" s="1" t="s">
        <v>22</v>
      </c>
      <c r="C27" s="7" t="str">
        <f t="shared" si="2"/>
        <v>Centro-Oeste</v>
      </c>
      <c r="I27" s="8"/>
      <c r="J27" s="8"/>
    </row>
    <row r="28" spans="1:10" x14ac:dyDescent="0.3">
      <c r="A28" s="1" t="s">
        <v>61</v>
      </c>
      <c r="B28" s="1" t="s">
        <v>23</v>
      </c>
      <c r="C28" s="7"/>
      <c r="I28" s="8"/>
      <c r="J28" s="8"/>
    </row>
    <row r="29" spans="1:10" x14ac:dyDescent="0.3">
      <c r="A29" s="1" t="s">
        <v>62</v>
      </c>
      <c r="B29" s="1" t="s">
        <v>21</v>
      </c>
      <c r="C29" s="7"/>
    </row>
    <row r="30" spans="1:10" x14ac:dyDescent="0.3">
      <c r="A30" s="1" t="s">
        <v>63</v>
      </c>
      <c r="B30" s="1" t="s">
        <v>6</v>
      </c>
      <c r="C30" s="7"/>
    </row>
    <row r="31" spans="1:10" x14ac:dyDescent="0.3">
      <c r="A31" s="1" t="s">
        <v>64</v>
      </c>
      <c r="B31" s="1" t="s">
        <v>5</v>
      </c>
      <c r="C31" s="7"/>
    </row>
    <row r="32" spans="1:10" x14ac:dyDescent="0.3">
      <c r="A32" s="1" t="s">
        <v>65</v>
      </c>
      <c r="B32" s="1" t="s">
        <v>14</v>
      </c>
      <c r="C32" s="7"/>
    </row>
    <row r="33" spans="1:3" x14ac:dyDescent="0.3">
      <c r="A33" s="1" t="s">
        <v>66</v>
      </c>
      <c r="B33" s="1" t="s">
        <v>24</v>
      </c>
      <c r="C33" s="7"/>
    </row>
    <row r="34" spans="1:3" x14ac:dyDescent="0.3">
      <c r="A34" s="1" t="s">
        <v>67</v>
      </c>
      <c r="B34" s="1" t="s">
        <v>24</v>
      </c>
      <c r="C34" s="7"/>
    </row>
    <row r="35" spans="1:3" x14ac:dyDescent="0.3">
      <c r="A35" s="1" t="s">
        <v>68</v>
      </c>
      <c r="B35" s="1" t="s">
        <v>16</v>
      </c>
      <c r="C35" s="7"/>
    </row>
    <row r="36" spans="1:3" x14ac:dyDescent="0.3">
      <c r="A36" s="1" t="s">
        <v>69</v>
      </c>
      <c r="B36" s="1" t="s">
        <v>16</v>
      </c>
      <c r="C36" s="7"/>
    </row>
    <row r="37" spans="1:3" x14ac:dyDescent="0.3">
      <c r="A37" s="1" t="s">
        <v>70</v>
      </c>
      <c r="B37" s="1" t="s">
        <v>5</v>
      </c>
      <c r="C37" s="7"/>
    </row>
    <row r="38" spans="1:3" x14ac:dyDescent="0.3">
      <c r="A38" s="1" t="s">
        <v>71</v>
      </c>
      <c r="B38" s="1" t="s">
        <v>7</v>
      </c>
      <c r="C38" s="7"/>
    </row>
    <row r="39" spans="1:3" x14ac:dyDescent="0.3">
      <c r="A39" s="1" t="s">
        <v>72</v>
      </c>
      <c r="B39" s="1" t="s">
        <v>25</v>
      </c>
      <c r="C39" s="7"/>
    </row>
    <row r="40" spans="1:3" x14ac:dyDescent="0.3">
      <c r="A40" s="1" t="s">
        <v>73</v>
      </c>
      <c r="B40" s="1" t="s">
        <v>5</v>
      </c>
      <c r="C40" s="7"/>
    </row>
    <row r="41" spans="1:3" x14ac:dyDescent="0.3">
      <c r="A41" s="1" t="s">
        <v>74</v>
      </c>
      <c r="B41" s="1" t="s">
        <v>6</v>
      </c>
      <c r="C41" s="7"/>
    </row>
    <row r="42" spans="1:3" x14ac:dyDescent="0.3">
      <c r="A42" s="1" t="s">
        <v>75</v>
      </c>
      <c r="B42" s="1" t="s">
        <v>25</v>
      </c>
      <c r="C42" s="7"/>
    </row>
    <row r="43" spans="1:3" x14ac:dyDescent="0.3">
      <c r="A43" s="1" t="s">
        <v>76</v>
      </c>
      <c r="B43" s="1" t="s">
        <v>12</v>
      </c>
      <c r="C43" s="7"/>
    </row>
    <row r="44" spans="1:3" x14ac:dyDescent="0.3">
      <c r="A44" s="1" t="s">
        <v>77</v>
      </c>
      <c r="B44" s="1" t="s">
        <v>11</v>
      </c>
      <c r="C44" s="7"/>
    </row>
    <row r="45" spans="1:3" x14ac:dyDescent="0.3">
      <c r="A45" s="1" t="s">
        <v>78</v>
      </c>
      <c r="B45" s="1" t="s">
        <v>6</v>
      </c>
      <c r="C45" s="7"/>
    </row>
    <row r="46" spans="1:3" x14ac:dyDescent="0.3">
      <c r="A46" s="1" t="s">
        <v>79</v>
      </c>
      <c r="B46" s="1" t="s">
        <v>13</v>
      </c>
      <c r="C46" s="7"/>
    </row>
    <row r="47" spans="1:3" x14ac:dyDescent="0.3">
      <c r="A47" s="1" t="s">
        <v>80</v>
      </c>
      <c r="B47" s="1" t="s">
        <v>26</v>
      </c>
      <c r="C47" s="7"/>
    </row>
    <row r="48" spans="1:3" x14ac:dyDescent="0.3">
      <c r="A48" s="1" t="s">
        <v>81</v>
      </c>
      <c r="B48" s="1" t="s">
        <v>6</v>
      </c>
      <c r="C48" s="7"/>
    </row>
    <row r="49" spans="1:3" x14ac:dyDescent="0.3">
      <c r="A49" s="1" t="s">
        <v>82</v>
      </c>
      <c r="B49" s="1" t="s">
        <v>5</v>
      </c>
      <c r="C49" s="7"/>
    </row>
    <row r="50" spans="1:3" x14ac:dyDescent="0.3">
      <c r="A50" s="1" t="s">
        <v>83</v>
      </c>
      <c r="B50" s="1" t="s">
        <v>18</v>
      </c>
      <c r="C50" s="7"/>
    </row>
    <row r="51" spans="1:3" x14ac:dyDescent="0.3">
      <c r="A51" s="1" t="s">
        <v>84</v>
      </c>
      <c r="B51" s="1" t="s">
        <v>22</v>
      </c>
      <c r="C51" s="7"/>
    </row>
    <row r="52" spans="1:3" x14ac:dyDescent="0.3">
      <c r="A52" s="1" t="s">
        <v>85</v>
      </c>
      <c r="B52" s="1" t="s">
        <v>24</v>
      </c>
      <c r="C52" s="7"/>
    </row>
    <row r="53" spans="1:3" x14ac:dyDescent="0.3">
      <c r="A53" s="1" t="s">
        <v>86</v>
      </c>
      <c r="B53" s="1" t="s">
        <v>23</v>
      </c>
      <c r="C53" s="7"/>
    </row>
    <row r="54" spans="1:3" x14ac:dyDescent="0.3">
      <c r="A54" s="1" t="s">
        <v>87</v>
      </c>
      <c r="B54" s="1" t="s">
        <v>6</v>
      </c>
      <c r="C54" s="7"/>
    </row>
    <row r="55" spans="1:3" x14ac:dyDescent="0.3">
      <c r="A55" s="1" t="s">
        <v>88</v>
      </c>
      <c r="B55" s="1" t="s">
        <v>12</v>
      </c>
      <c r="C55" s="7"/>
    </row>
    <row r="56" spans="1:3" x14ac:dyDescent="0.3">
      <c r="A56" s="1" t="s">
        <v>89</v>
      </c>
      <c r="B56" s="1" t="s">
        <v>10</v>
      </c>
      <c r="C56" s="7"/>
    </row>
    <row r="57" spans="1:3" x14ac:dyDescent="0.3">
      <c r="A57" s="1" t="s">
        <v>90</v>
      </c>
      <c r="B57" s="1" t="s">
        <v>25</v>
      </c>
      <c r="C57" s="7"/>
    </row>
    <row r="58" spans="1:3" x14ac:dyDescent="0.3">
      <c r="A58" s="1" t="s">
        <v>91</v>
      </c>
      <c r="B58" s="1" t="s">
        <v>19</v>
      </c>
      <c r="C58" s="7"/>
    </row>
    <row r="59" spans="1:3" x14ac:dyDescent="0.3">
      <c r="A59" s="1" t="s">
        <v>92</v>
      </c>
      <c r="B59" s="1" t="s">
        <v>20</v>
      </c>
      <c r="C59" s="7"/>
    </row>
    <row r="60" spans="1:3" x14ac:dyDescent="0.3">
      <c r="A60" s="1" t="s">
        <v>93</v>
      </c>
      <c r="B60" s="1" t="s">
        <v>26</v>
      </c>
      <c r="C60" s="7"/>
    </row>
    <row r="61" spans="1:3" x14ac:dyDescent="0.3">
      <c r="A61" s="1" t="s">
        <v>94</v>
      </c>
      <c r="B61" s="1" t="s">
        <v>13</v>
      </c>
      <c r="C61" s="7"/>
    </row>
    <row r="62" spans="1:3" x14ac:dyDescent="0.3">
      <c r="A62" s="1" t="s">
        <v>95</v>
      </c>
      <c r="B62" s="1" t="s">
        <v>6</v>
      </c>
      <c r="C62" s="7"/>
    </row>
    <row r="63" spans="1:3" x14ac:dyDescent="0.3">
      <c r="A63" s="1" t="s">
        <v>96</v>
      </c>
      <c r="B63" s="1" t="s">
        <v>21</v>
      </c>
      <c r="C63" s="7"/>
    </row>
    <row r="64" spans="1:3" x14ac:dyDescent="0.3">
      <c r="A64" s="1" t="s">
        <v>97</v>
      </c>
      <c r="B64" s="1" t="s">
        <v>20</v>
      </c>
      <c r="C64" s="7"/>
    </row>
    <row r="65" spans="1:3" x14ac:dyDescent="0.3">
      <c r="A65" s="1" t="s">
        <v>98</v>
      </c>
      <c r="B65" s="1" t="s">
        <v>8</v>
      </c>
      <c r="C65" s="7"/>
    </row>
    <row r="66" spans="1:3" x14ac:dyDescent="0.3">
      <c r="A66" s="1" t="s">
        <v>99</v>
      </c>
      <c r="B66" s="1" t="s">
        <v>6</v>
      </c>
      <c r="C66" s="7"/>
    </row>
    <row r="67" spans="1:3" x14ac:dyDescent="0.3">
      <c r="A67" s="1" t="s">
        <v>100</v>
      </c>
      <c r="B67" s="1" t="s">
        <v>23</v>
      </c>
      <c r="C67" s="7"/>
    </row>
    <row r="68" spans="1:3" x14ac:dyDescent="0.3">
      <c r="A68" s="1" t="s">
        <v>101</v>
      </c>
      <c r="B68" s="1" t="s">
        <v>6</v>
      </c>
      <c r="C68" s="7"/>
    </row>
    <row r="69" spans="1:3" x14ac:dyDescent="0.3">
      <c r="A69" s="1" t="s">
        <v>102</v>
      </c>
      <c r="B69" s="1" t="s">
        <v>21</v>
      </c>
      <c r="C69" s="7"/>
    </row>
    <row r="70" spans="1:3" x14ac:dyDescent="0.3">
      <c r="A70" s="1" t="s">
        <v>103</v>
      </c>
      <c r="B70" s="1" t="s">
        <v>25</v>
      </c>
      <c r="C70" s="7"/>
    </row>
    <row r="71" spans="1:3" x14ac:dyDescent="0.3">
      <c r="A71" s="1" t="s">
        <v>104</v>
      </c>
      <c r="B71" s="1" t="s">
        <v>11</v>
      </c>
      <c r="C71" s="7"/>
    </row>
    <row r="72" spans="1:3" x14ac:dyDescent="0.3">
      <c r="A72" s="1" t="s">
        <v>105</v>
      </c>
      <c r="B72" s="1" t="s">
        <v>17</v>
      </c>
      <c r="C72" s="7"/>
    </row>
    <row r="73" spans="1:3" x14ac:dyDescent="0.3">
      <c r="A73" s="1" t="s">
        <v>106</v>
      </c>
      <c r="B73" s="1" t="s">
        <v>9</v>
      </c>
      <c r="C73" s="7"/>
    </row>
    <row r="74" spans="1:3" x14ac:dyDescent="0.3">
      <c r="A74" s="1" t="s">
        <v>107</v>
      </c>
      <c r="B74" s="1" t="s">
        <v>24</v>
      </c>
      <c r="C74" s="7"/>
    </row>
    <row r="75" spans="1:3" x14ac:dyDescent="0.3">
      <c r="A75" s="1" t="s">
        <v>108</v>
      </c>
      <c r="B75" s="1" t="s">
        <v>15</v>
      </c>
      <c r="C75" s="7"/>
    </row>
    <row r="76" spans="1:3" x14ac:dyDescent="0.3">
      <c r="A76" s="1" t="s">
        <v>109</v>
      </c>
      <c r="B76" s="1" t="s">
        <v>9</v>
      </c>
      <c r="C76" s="7"/>
    </row>
    <row r="77" spans="1:3" x14ac:dyDescent="0.3">
      <c r="A77" s="1" t="s">
        <v>110</v>
      </c>
      <c r="B77" s="1" t="s">
        <v>11</v>
      </c>
      <c r="C77" s="7"/>
    </row>
    <row r="78" spans="1:3" x14ac:dyDescent="0.3">
      <c r="A78" s="1" t="s">
        <v>111</v>
      </c>
      <c r="B78" s="1" t="s">
        <v>16</v>
      </c>
      <c r="C78" s="7"/>
    </row>
    <row r="79" spans="1:3" x14ac:dyDescent="0.3">
      <c r="A79" s="1" t="s">
        <v>112</v>
      </c>
      <c r="B79" s="1" t="s">
        <v>26</v>
      </c>
      <c r="C79" s="7"/>
    </row>
    <row r="80" spans="1:3" x14ac:dyDescent="0.3">
      <c r="A80" s="1" t="s">
        <v>113</v>
      </c>
      <c r="B80" s="1" t="s">
        <v>10</v>
      </c>
      <c r="C80" s="7"/>
    </row>
    <row r="81" spans="1:3" x14ac:dyDescent="0.3">
      <c r="A81" s="1" t="s">
        <v>114</v>
      </c>
      <c r="B81" s="1" t="s">
        <v>6</v>
      </c>
      <c r="C81" s="7"/>
    </row>
    <row r="82" spans="1:3" x14ac:dyDescent="0.3">
      <c r="A82" s="1" t="s">
        <v>115</v>
      </c>
      <c r="B82" s="1" t="s">
        <v>19</v>
      </c>
      <c r="C82" s="7"/>
    </row>
    <row r="83" spans="1:3" x14ac:dyDescent="0.3">
      <c r="A83" s="1" t="s">
        <v>116</v>
      </c>
      <c r="B83" s="1" t="s">
        <v>11</v>
      </c>
      <c r="C83" s="7"/>
    </row>
    <row r="84" spans="1:3" x14ac:dyDescent="0.3">
      <c r="A84" s="1" t="s">
        <v>117</v>
      </c>
      <c r="B84" s="1" t="s">
        <v>18</v>
      </c>
      <c r="C84" s="7"/>
    </row>
    <row r="85" spans="1:3" x14ac:dyDescent="0.3">
      <c r="A85" s="1" t="s">
        <v>118</v>
      </c>
      <c r="B85" s="1" t="s">
        <v>19</v>
      </c>
      <c r="C85" s="7"/>
    </row>
    <row r="86" spans="1:3" x14ac:dyDescent="0.3">
      <c r="A86" s="1" t="s">
        <v>119</v>
      </c>
      <c r="B86" s="1" t="s">
        <v>6</v>
      </c>
      <c r="C86" s="7"/>
    </row>
    <row r="87" spans="1:3" x14ac:dyDescent="0.3">
      <c r="A87" s="1" t="s">
        <v>120</v>
      </c>
      <c r="B87" s="1" t="s">
        <v>8</v>
      </c>
      <c r="C87" s="7"/>
    </row>
    <row r="88" spans="1:3" x14ac:dyDescent="0.3">
      <c r="A88" s="1" t="s">
        <v>121</v>
      </c>
      <c r="B88" s="1" t="s">
        <v>26</v>
      </c>
      <c r="C88" s="7"/>
    </row>
    <row r="89" spans="1:3" x14ac:dyDescent="0.3">
      <c r="A89" s="1" t="s">
        <v>122</v>
      </c>
      <c r="B89" s="1" t="s">
        <v>9</v>
      </c>
      <c r="C89" s="7"/>
    </row>
    <row r="90" spans="1:3" x14ac:dyDescent="0.3">
      <c r="A90" s="1" t="s">
        <v>123</v>
      </c>
      <c r="B90" s="1" t="s">
        <v>6</v>
      </c>
      <c r="C90" s="7"/>
    </row>
    <row r="91" spans="1:3" x14ac:dyDescent="0.3">
      <c r="A91" s="1" t="s">
        <v>124</v>
      </c>
      <c r="B91" s="1" t="s">
        <v>21</v>
      </c>
      <c r="C91" s="7"/>
    </row>
    <row r="92" spans="1:3" x14ac:dyDescent="0.3">
      <c r="A92" s="1" t="s">
        <v>125</v>
      </c>
      <c r="B92" s="1" t="s">
        <v>5</v>
      </c>
      <c r="C92" s="7"/>
    </row>
    <row r="93" spans="1:3" x14ac:dyDescent="0.3">
      <c r="A93" s="1" t="s">
        <v>126</v>
      </c>
      <c r="B93" s="1" t="s">
        <v>6</v>
      </c>
      <c r="C93" s="7"/>
    </row>
    <row r="94" spans="1:3" x14ac:dyDescent="0.3">
      <c r="A94" s="1" t="s">
        <v>127</v>
      </c>
      <c r="B94" s="1" t="s">
        <v>14</v>
      </c>
      <c r="C94" s="7"/>
    </row>
    <row r="95" spans="1:3" x14ac:dyDescent="0.3">
      <c r="A95" s="1" t="s">
        <v>128</v>
      </c>
      <c r="B95" s="1" t="s">
        <v>17</v>
      </c>
      <c r="C95" s="7"/>
    </row>
    <row r="96" spans="1:3" x14ac:dyDescent="0.3">
      <c r="A96" s="1" t="s">
        <v>129</v>
      </c>
      <c r="B96" s="1" t="s">
        <v>19</v>
      </c>
      <c r="C96" s="7"/>
    </row>
    <row r="97" spans="1:3" x14ac:dyDescent="0.3">
      <c r="A97" s="1" t="s">
        <v>130</v>
      </c>
      <c r="B97" s="1" t="s">
        <v>6</v>
      </c>
      <c r="C97" s="7"/>
    </row>
    <row r="98" spans="1:3" x14ac:dyDescent="0.3">
      <c r="A98" s="1" t="s">
        <v>131</v>
      </c>
      <c r="B98" s="1" t="s">
        <v>7</v>
      </c>
      <c r="C98" s="7"/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8"/>
  <sheetViews>
    <sheetView showGridLines="0" zoomScale="120" zoomScaleNormal="120" workbookViewId="0">
      <selection activeCell="C14" sqref="C14"/>
    </sheetView>
  </sheetViews>
  <sheetFormatPr defaultRowHeight="14.4" x14ac:dyDescent="0.3"/>
  <cols>
    <col min="1" max="1" width="20.5546875" customWidth="1"/>
    <col min="2" max="2" width="10" customWidth="1"/>
    <col min="3" max="3" width="16.6640625" customWidth="1"/>
    <col min="9" max="11" width="12.6640625" customWidth="1"/>
  </cols>
  <sheetData>
    <row r="1" spans="1:11" x14ac:dyDescent="0.3">
      <c r="A1" s="6" t="s">
        <v>34</v>
      </c>
      <c r="B1" s="6" t="s">
        <v>3</v>
      </c>
      <c r="C1" s="15" t="s">
        <v>142</v>
      </c>
      <c r="I1" s="13" t="s">
        <v>143</v>
      </c>
      <c r="J1" s="13" t="s">
        <v>144</v>
      </c>
      <c r="K1" s="13" t="s">
        <v>142</v>
      </c>
    </row>
    <row r="2" spans="1:11" x14ac:dyDescent="0.3">
      <c r="A2" s="1" t="s">
        <v>35</v>
      </c>
      <c r="B2" s="5">
        <v>4400</v>
      </c>
      <c r="C2" s="11" t="str">
        <f>IF(B2&lt;=J2,"Nivel 1", "Nivel 2")</f>
        <v>Nivel 1</v>
      </c>
      <c r="I2" s="17">
        <v>0</v>
      </c>
      <c r="J2" s="17">
        <v>8250</v>
      </c>
      <c r="K2" s="18" t="s">
        <v>145</v>
      </c>
    </row>
    <row r="3" spans="1:11" x14ac:dyDescent="0.3">
      <c r="A3" s="1" t="s">
        <v>36</v>
      </c>
      <c r="B3" s="5">
        <v>4800</v>
      </c>
      <c r="C3" s="11" t="str">
        <f t="shared" ref="C3:C13" si="0">IF(B3&lt;=J3,"Nivel 1", "Nivel 2")</f>
        <v>Nivel 1</v>
      </c>
      <c r="I3" s="17">
        <v>8251</v>
      </c>
      <c r="J3" s="19" t="s">
        <v>146</v>
      </c>
      <c r="K3" s="18" t="s">
        <v>147</v>
      </c>
    </row>
    <row r="4" spans="1:11" x14ac:dyDescent="0.3">
      <c r="A4" s="1" t="s">
        <v>37</v>
      </c>
      <c r="B4" s="5">
        <v>14500</v>
      </c>
      <c r="C4" s="11" t="str">
        <f t="shared" si="0"/>
        <v>Nivel 2</v>
      </c>
    </row>
    <row r="5" spans="1:11" x14ac:dyDescent="0.3">
      <c r="A5" s="1" t="s">
        <v>38</v>
      </c>
      <c r="B5" s="5">
        <v>6000</v>
      </c>
      <c r="C5" s="11" t="str">
        <f>IF(B5&lt;=J2,"Nivel 1","Nivel 2")</f>
        <v>Nivel 1</v>
      </c>
    </row>
    <row r="6" spans="1:11" x14ac:dyDescent="0.3">
      <c r="A6" s="1" t="s">
        <v>39</v>
      </c>
      <c r="B6" s="5">
        <v>8500</v>
      </c>
      <c r="C6" s="11" t="str">
        <f>IF(B6&lt;=J2,"Nivel 1","Nivel 2")</f>
        <v>Nivel 2</v>
      </c>
    </row>
    <row r="7" spans="1:11" x14ac:dyDescent="0.3">
      <c r="A7" s="1" t="s">
        <v>40</v>
      </c>
      <c r="B7" s="5">
        <v>6400</v>
      </c>
      <c r="C7" s="11" t="str">
        <f>IF(B7&lt;=J2,"Nivel1","Nivel2")</f>
        <v>Nivel1</v>
      </c>
    </row>
    <row r="8" spans="1:11" x14ac:dyDescent="0.3">
      <c r="A8" s="1" t="s">
        <v>41</v>
      </c>
      <c r="B8" s="5">
        <v>6200</v>
      </c>
      <c r="C8" s="11" t="str">
        <f>IF(B8&lt;=J2,"Nivel 1","Nivel 2")</f>
        <v>Nivel 1</v>
      </c>
    </row>
    <row r="9" spans="1:11" x14ac:dyDescent="0.3">
      <c r="A9" s="1" t="s">
        <v>42</v>
      </c>
      <c r="B9" s="5">
        <v>5200</v>
      </c>
      <c r="C9" s="11" t="str">
        <f>IF(B9&lt;=J2,"Nivel 1","Nivel 2")</f>
        <v>Nivel 1</v>
      </c>
    </row>
    <row r="10" spans="1:11" x14ac:dyDescent="0.3">
      <c r="A10" s="1" t="s">
        <v>43</v>
      </c>
      <c r="B10" s="5">
        <v>11300</v>
      </c>
      <c r="C10" s="11" t="str">
        <f>IF(B10&lt;=J2,"Nivel1","Nivel2")</f>
        <v>Nivel2</v>
      </c>
    </row>
    <row r="11" spans="1:11" x14ac:dyDescent="0.3">
      <c r="A11" s="1" t="s">
        <v>44</v>
      </c>
      <c r="B11" s="5">
        <v>14900</v>
      </c>
      <c r="C11" s="11" t="str">
        <f>IF(B11&lt;=J2,"Nivel1","Nivel 2")</f>
        <v>Nivel 2</v>
      </c>
    </row>
    <row r="12" spans="1:11" x14ac:dyDescent="0.3">
      <c r="A12" s="1" t="s">
        <v>45</v>
      </c>
      <c r="B12" s="5">
        <v>11800</v>
      </c>
      <c r="C12" s="11" t="str">
        <f>IF(B12&lt;=J2,"Nivel1","Nivel2")</f>
        <v>Nivel2</v>
      </c>
    </row>
    <row r="13" spans="1:11" x14ac:dyDescent="0.3">
      <c r="A13" s="1" t="s">
        <v>46</v>
      </c>
      <c r="B13" s="5">
        <v>11200</v>
      </c>
      <c r="C13" s="11" t="str">
        <f>IF(B13&lt;=J2,"Nivel1","Nivel2")</f>
        <v>Nivel2</v>
      </c>
    </row>
    <row r="14" spans="1:11" x14ac:dyDescent="0.3">
      <c r="A14" s="1" t="s">
        <v>47</v>
      </c>
      <c r="B14" s="5">
        <v>8300</v>
      </c>
      <c r="C14" s="11" t="str">
        <f t="shared" ref="C2:C33" si="1">IF(B14&lt;=$J$2,$K$2,$K$3)</f>
        <v>Nível 2</v>
      </c>
    </row>
    <row r="15" spans="1:11" x14ac:dyDescent="0.3">
      <c r="A15" s="1" t="s">
        <v>48</v>
      </c>
      <c r="B15" s="5">
        <v>13100</v>
      </c>
      <c r="C15" s="11" t="str">
        <f t="shared" si="1"/>
        <v>Nível 2</v>
      </c>
    </row>
    <row r="16" spans="1:11" x14ac:dyDescent="0.3">
      <c r="A16" s="1" t="s">
        <v>49</v>
      </c>
      <c r="B16" s="5">
        <v>10400</v>
      </c>
      <c r="C16" s="11" t="str">
        <f t="shared" si="1"/>
        <v>Nível 2</v>
      </c>
    </row>
    <row r="17" spans="1:3" x14ac:dyDescent="0.3">
      <c r="A17" s="1" t="s">
        <v>50</v>
      </c>
      <c r="B17" s="5">
        <v>9300</v>
      </c>
      <c r="C17" s="11" t="str">
        <f t="shared" si="1"/>
        <v>Nível 2</v>
      </c>
    </row>
    <row r="18" spans="1:3" x14ac:dyDescent="0.3">
      <c r="A18" s="1" t="s">
        <v>51</v>
      </c>
      <c r="B18" s="5">
        <v>11700</v>
      </c>
      <c r="C18" s="11" t="str">
        <f t="shared" si="1"/>
        <v>Nível 2</v>
      </c>
    </row>
    <row r="19" spans="1:3" x14ac:dyDescent="0.3">
      <c r="A19" s="1" t="s">
        <v>52</v>
      </c>
      <c r="B19" s="5">
        <v>9300</v>
      </c>
      <c r="C19" s="11" t="str">
        <f t="shared" si="1"/>
        <v>Nível 2</v>
      </c>
    </row>
    <row r="20" spans="1:3" x14ac:dyDescent="0.3">
      <c r="A20" s="1" t="s">
        <v>53</v>
      </c>
      <c r="B20" s="5">
        <v>10900</v>
      </c>
      <c r="C20" s="11" t="str">
        <f t="shared" si="1"/>
        <v>Nível 2</v>
      </c>
    </row>
    <row r="21" spans="1:3" x14ac:dyDescent="0.3">
      <c r="A21" s="1" t="s">
        <v>54</v>
      </c>
      <c r="B21" s="5">
        <v>7100</v>
      </c>
      <c r="C21" s="11" t="str">
        <f t="shared" si="1"/>
        <v>Nível 1</v>
      </c>
    </row>
    <row r="22" spans="1:3" x14ac:dyDescent="0.3">
      <c r="A22" s="1" t="s">
        <v>55</v>
      </c>
      <c r="B22" s="5">
        <v>4300</v>
      </c>
      <c r="C22" s="11" t="str">
        <f t="shared" si="1"/>
        <v>Nível 1</v>
      </c>
    </row>
    <row r="23" spans="1:3" x14ac:dyDescent="0.3">
      <c r="A23" s="1" t="s">
        <v>56</v>
      </c>
      <c r="B23" s="5">
        <v>3700</v>
      </c>
      <c r="C23" s="11" t="str">
        <f t="shared" si="1"/>
        <v>Nível 1</v>
      </c>
    </row>
    <row r="24" spans="1:3" x14ac:dyDescent="0.3">
      <c r="A24" s="1" t="s">
        <v>57</v>
      </c>
      <c r="B24" s="5">
        <v>5700</v>
      </c>
      <c r="C24" s="11" t="str">
        <f t="shared" si="1"/>
        <v>Nível 1</v>
      </c>
    </row>
    <row r="25" spans="1:3" x14ac:dyDescent="0.3">
      <c r="A25" s="1" t="s">
        <v>58</v>
      </c>
      <c r="B25" s="5">
        <v>8300</v>
      </c>
      <c r="C25" s="11" t="str">
        <f t="shared" si="1"/>
        <v>Nível 2</v>
      </c>
    </row>
    <row r="26" spans="1:3" x14ac:dyDescent="0.3">
      <c r="A26" s="1" t="s">
        <v>59</v>
      </c>
      <c r="B26" s="5">
        <v>9300</v>
      </c>
      <c r="C26" s="11" t="str">
        <f t="shared" si="1"/>
        <v>Nível 2</v>
      </c>
    </row>
    <row r="27" spans="1:3" x14ac:dyDescent="0.3">
      <c r="A27" s="1" t="s">
        <v>60</v>
      </c>
      <c r="B27" s="5">
        <v>9200</v>
      </c>
      <c r="C27" s="11" t="str">
        <f t="shared" si="1"/>
        <v>Nível 2</v>
      </c>
    </row>
    <row r="28" spans="1:3" x14ac:dyDescent="0.3">
      <c r="A28" s="1" t="s">
        <v>61</v>
      </c>
      <c r="B28" s="5">
        <v>8100</v>
      </c>
      <c r="C28" s="11" t="str">
        <f t="shared" si="1"/>
        <v>Nível 1</v>
      </c>
    </row>
    <row r="29" spans="1:3" x14ac:dyDescent="0.3">
      <c r="A29" s="1" t="s">
        <v>62</v>
      </c>
      <c r="B29" s="5">
        <v>7000</v>
      </c>
      <c r="C29" s="11" t="str">
        <f t="shared" si="1"/>
        <v>Nível 1</v>
      </c>
    </row>
    <row r="30" spans="1:3" x14ac:dyDescent="0.3">
      <c r="A30" s="1" t="s">
        <v>63</v>
      </c>
      <c r="B30" s="5">
        <v>9700</v>
      </c>
      <c r="C30" s="11" t="str">
        <f t="shared" si="1"/>
        <v>Nível 2</v>
      </c>
    </row>
    <row r="31" spans="1:3" x14ac:dyDescent="0.3">
      <c r="A31" s="1" t="s">
        <v>64</v>
      </c>
      <c r="B31" s="5">
        <v>5400</v>
      </c>
      <c r="C31" s="11" t="str">
        <f t="shared" si="1"/>
        <v>Nível 1</v>
      </c>
    </row>
    <row r="32" spans="1:3" x14ac:dyDescent="0.3">
      <c r="A32" s="1" t="s">
        <v>65</v>
      </c>
      <c r="B32" s="5">
        <v>6200</v>
      </c>
      <c r="C32" s="11" t="str">
        <f t="shared" si="1"/>
        <v>Nível 1</v>
      </c>
    </row>
    <row r="33" spans="1:3" x14ac:dyDescent="0.3">
      <c r="A33" s="1" t="s">
        <v>66</v>
      </c>
      <c r="B33" s="5">
        <v>6800</v>
      </c>
      <c r="C33" s="11" t="str">
        <f t="shared" si="1"/>
        <v>Nível 1</v>
      </c>
    </row>
    <row r="34" spans="1:3" x14ac:dyDescent="0.3">
      <c r="A34" s="1" t="s">
        <v>67</v>
      </c>
      <c r="B34" s="5">
        <v>11800</v>
      </c>
      <c r="C34" s="11" t="str">
        <f t="shared" ref="C34:C65" si="2">IF(B34&lt;=$J$2,$K$2,$K$3)</f>
        <v>Nível 2</v>
      </c>
    </row>
    <row r="35" spans="1:3" x14ac:dyDescent="0.3">
      <c r="A35" s="1" t="s">
        <v>68</v>
      </c>
      <c r="B35" s="5">
        <v>4100</v>
      </c>
      <c r="C35" s="11" t="str">
        <f t="shared" si="2"/>
        <v>Nível 1</v>
      </c>
    </row>
    <row r="36" spans="1:3" x14ac:dyDescent="0.3">
      <c r="A36" s="1" t="s">
        <v>69</v>
      </c>
      <c r="B36" s="5">
        <v>11200</v>
      </c>
      <c r="C36" s="11" t="str">
        <f t="shared" si="2"/>
        <v>Nível 2</v>
      </c>
    </row>
    <row r="37" spans="1:3" x14ac:dyDescent="0.3">
      <c r="A37" s="1" t="s">
        <v>70</v>
      </c>
      <c r="B37" s="5">
        <v>13500</v>
      </c>
      <c r="C37" s="11" t="str">
        <f t="shared" si="2"/>
        <v>Nível 2</v>
      </c>
    </row>
    <row r="38" spans="1:3" x14ac:dyDescent="0.3">
      <c r="A38" s="1" t="s">
        <v>71</v>
      </c>
      <c r="B38" s="5">
        <v>12800</v>
      </c>
      <c r="C38" s="11" t="str">
        <f t="shared" si="2"/>
        <v>Nível 2</v>
      </c>
    </row>
    <row r="39" spans="1:3" x14ac:dyDescent="0.3">
      <c r="A39" s="1" t="s">
        <v>72</v>
      </c>
      <c r="B39" s="5">
        <v>3800</v>
      </c>
      <c r="C39" s="11" t="str">
        <f t="shared" si="2"/>
        <v>Nível 1</v>
      </c>
    </row>
    <row r="40" spans="1:3" x14ac:dyDescent="0.3">
      <c r="A40" s="1" t="s">
        <v>73</v>
      </c>
      <c r="B40" s="5">
        <v>12000</v>
      </c>
      <c r="C40" s="11" t="str">
        <f t="shared" si="2"/>
        <v>Nível 2</v>
      </c>
    </row>
    <row r="41" spans="1:3" x14ac:dyDescent="0.3">
      <c r="A41" s="1" t="s">
        <v>74</v>
      </c>
      <c r="B41" s="5">
        <v>11500</v>
      </c>
      <c r="C41" s="11" t="str">
        <f t="shared" si="2"/>
        <v>Nível 2</v>
      </c>
    </row>
    <row r="42" spans="1:3" x14ac:dyDescent="0.3">
      <c r="A42" s="1" t="s">
        <v>75</v>
      </c>
      <c r="B42" s="5">
        <v>5700</v>
      </c>
      <c r="C42" s="11" t="str">
        <f t="shared" si="2"/>
        <v>Nível 1</v>
      </c>
    </row>
    <row r="43" spans="1:3" x14ac:dyDescent="0.3">
      <c r="A43" s="1" t="s">
        <v>76</v>
      </c>
      <c r="B43" s="5">
        <v>4300</v>
      </c>
      <c r="C43" s="11" t="str">
        <f t="shared" si="2"/>
        <v>Nível 1</v>
      </c>
    </row>
    <row r="44" spans="1:3" x14ac:dyDescent="0.3">
      <c r="A44" s="1" t="s">
        <v>77</v>
      </c>
      <c r="B44" s="5">
        <v>8300</v>
      </c>
      <c r="C44" s="11" t="str">
        <f t="shared" si="2"/>
        <v>Nível 2</v>
      </c>
    </row>
    <row r="45" spans="1:3" x14ac:dyDescent="0.3">
      <c r="A45" s="1" t="s">
        <v>78</v>
      </c>
      <c r="B45" s="5">
        <v>9400</v>
      </c>
      <c r="C45" s="11" t="str">
        <f t="shared" si="2"/>
        <v>Nível 2</v>
      </c>
    </row>
    <row r="46" spans="1:3" x14ac:dyDescent="0.3">
      <c r="A46" s="1" t="s">
        <v>79</v>
      </c>
      <c r="B46" s="5">
        <v>14900</v>
      </c>
      <c r="C46" s="11" t="str">
        <f t="shared" si="2"/>
        <v>Nível 2</v>
      </c>
    </row>
    <row r="47" spans="1:3" x14ac:dyDescent="0.3">
      <c r="A47" s="1" t="s">
        <v>80</v>
      </c>
      <c r="B47" s="5">
        <v>5000</v>
      </c>
      <c r="C47" s="11" t="str">
        <f t="shared" si="2"/>
        <v>Nível 1</v>
      </c>
    </row>
    <row r="48" spans="1:3" x14ac:dyDescent="0.3">
      <c r="A48" s="1" t="s">
        <v>81</v>
      </c>
      <c r="B48" s="5">
        <v>12500</v>
      </c>
      <c r="C48" s="11" t="str">
        <f t="shared" si="2"/>
        <v>Nível 2</v>
      </c>
    </row>
    <row r="49" spans="1:3" x14ac:dyDescent="0.3">
      <c r="A49" s="1" t="s">
        <v>82</v>
      </c>
      <c r="B49" s="5">
        <v>11700</v>
      </c>
      <c r="C49" s="11" t="str">
        <f t="shared" si="2"/>
        <v>Nível 2</v>
      </c>
    </row>
    <row r="50" spans="1:3" x14ac:dyDescent="0.3">
      <c r="A50" s="1" t="s">
        <v>83</v>
      </c>
      <c r="B50" s="5">
        <v>11000</v>
      </c>
      <c r="C50" s="11" t="str">
        <f t="shared" si="2"/>
        <v>Nível 2</v>
      </c>
    </row>
    <row r="51" spans="1:3" x14ac:dyDescent="0.3">
      <c r="A51" s="1" t="s">
        <v>84</v>
      </c>
      <c r="B51" s="5">
        <v>5200</v>
      </c>
      <c r="C51" s="11" t="str">
        <f t="shared" si="2"/>
        <v>Nível 1</v>
      </c>
    </row>
    <row r="52" spans="1:3" x14ac:dyDescent="0.3">
      <c r="A52" s="1" t="s">
        <v>85</v>
      </c>
      <c r="B52" s="5">
        <v>14400</v>
      </c>
      <c r="C52" s="11" t="str">
        <f t="shared" si="2"/>
        <v>Nível 2</v>
      </c>
    </row>
    <row r="53" spans="1:3" x14ac:dyDescent="0.3">
      <c r="A53" s="1" t="s">
        <v>86</v>
      </c>
      <c r="B53" s="5">
        <v>5000</v>
      </c>
      <c r="C53" s="11" t="str">
        <f t="shared" si="2"/>
        <v>Nível 1</v>
      </c>
    </row>
    <row r="54" spans="1:3" x14ac:dyDescent="0.3">
      <c r="A54" s="1" t="s">
        <v>87</v>
      </c>
      <c r="B54" s="5">
        <v>13600</v>
      </c>
      <c r="C54" s="11" t="str">
        <f t="shared" si="2"/>
        <v>Nível 2</v>
      </c>
    </row>
    <row r="55" spans="1:3" x14ac:dyDescent="0.3">
      <c r="A55" s="1" t="s">
        <v>88</v>
      </c>
      <c r="B55" s="5">
        <v>9400</v>
      </c>
      <c r="C55" s="11" t="str">
        <f t="shared" si="2"/>
        <v>Nível 2</v>
      </c>
    </row>
    <row r="56" spans="1:3" x14ac:dyDescent="0.3">
      <c r="A56" s="1" t="s">
        <v>89</v>
      </c>
      <c r="B56" s="5">
        <v>10000</v>
      </c>
      <c r="C56" s="11" t="str">
        <f t="shared" si="2"/>
        <v>Nível 2</v>
      </c>
    </row>
    <row r="57" spans="1:3" x14ac:dyDescent="0.3">
      <c r="A57" s="1" t="s">
        <v>90</v>
      </c>
      <c r="B57" s="5">
        <v>9600</v>
      </c>
      <c r="C57" s="11" t="str">
        <f t="shared" si="2"/>
        <v>Nível 2</v>
      </c>
    </row>
    <row r="58" spans="1:3" x14ac:dyDescent="0.3">
      <c r="A58" s="1" t="s">
        <v>91</v>
      </c>
      <c r="B58" s="5">
        <v>7000</v>
      </c>
      <c r="C58" s="11" t="str">
        <f t="shared" si="2"/>
        <v>Nível 1</v>
      </c>
    </row>
    <row r="59" spans="1:3" x14ac:dyDescent="0.3">
      <c r="A59" s="1" t="s">
        <v>92</v>
      </c>
      <c r="B59" s="5">
        <v>4000</v>
      </c>
      <c r="C59" s="11" t="str">
        <f t="shared" si="2"/>
        <v>Nível 1</v>
      </c>
    </row>
    <row r="60" spans="1:3" x14ac:dyDescent="0.3">
      <c r="A60" s="1" t="s">
        <v>93</v>
      </c>
      <c r="B60" s="5">
        <v>9500</v>
      </c>
      <c r="C60" s="11" t="str">
        <f t="shared" si="2"/>
        <v>Nível 2</v>
      </c>
    </row>
    <row r="61" spans="1:3" x14ac:dyDescent="0.3">
      <c r="A61" s="1" t="s">
        <v>94</v>
      </c>
      <c r="B61" s="5">
        <v>14300</v>
      </c>
      <c r="C61" s="11" t="str">
        <f t="shared" si="2"/>
        <v>Nível 2</v>
      </c>
    </row>
    <row r="62" spans="1:3" x14ac:dyDescent="0.3">
      <c r="A62" s="1" t="s">
        <v>95</v>
      </c>
      <c r="B62" s="5">
        <v>11900</v>
      </c>
      <c r="C62" s="11" t="str">
        <f t="shared" si="2"/>
        <v>Nível 2</v>
      </c>
    </row>
    <row r="63" spans="1:3" x14ac:dyDescent="0.3">
      <c r="A63" s="1" t="s">
        <v>96</v>
      </c>
      <c r="B63" s="5">
        <v>5800</v>
      </c>
      <c r="C63" s="11" t="str">
        <f t="shared" si="2"/>
        <v>Nível 1</v>
      </c>
    </row>
    <row r="64" spans="1:3" x14ac:dyDescent="0.3">
      <c r="A64" s="1" t="s">
        <v>97</v>
      </c>
      <c r="B64" s="5">
        <v>7000</v>
      </c>
      <c r="C64" s="11" t="str">
        <f t="shared" si="2"/>
        <v>Nível 1</v>
      </c>
    </row>
    <row r="65" spans="1:3" x14ac:dyDescent="0.3">
      <c r="A65" s="1" t="s">
        <v>98</v>
      </c>
      <c r="B65" s="5">
        <v>4700</v>
      </c>
      <c r="C65" s="11" t="str">
        <f t="shared" si="2"/>
        <v>Nível 1</v>
      </c>
    </row>
    <row r="66" spans="1:3" x14ac:dyDescent="0.3">
      <c r="A66" s="1" t="s">
        <v>99</v>
      </c>
      <c r="B66" s="5">
        <v>13700</v>
      </c>
      <c r="C66" s="11" t="str">
        <f t="shared" ref="C66:C97" si="3">IF(B66&lt;=$J$2,$K$2,$K$3)</f>
        <v>Nível 2</v>
      </c>
    </row>
    <row r="67" spans="1:3" x14ac:dyDescent="0.3">
      <c r="A67" s="1" t="s">
        <v>100</v>
      </c>
      <c r="B67" s="5">
        <v>5600</v>
      </c>
      <c r="C67" s="11" t="str">
        <f t="shared" si="3"/>
        <v>Nível 1</v>
      </c>
    </row>
    <row r="68" spans="1:3" x14ac:dyDescent="0.3">
      <c r="A68" s="1" t="s">
        <v>101</v>
      </c>
      <c r="B68" s="5">
        <v>13900</v>
      </c>
      <c r="C68" s="11" t="str">
        <f t="shared" si="3"/>
        <v>Nível 2</v>
      </c>
    </row>
    <row r="69" spans="1:3" x14ac:dyDescent="0.3">
      <c r="A69" s="1" t="s">
        <v>102</v>
      </c>
      <c r="B69" s="5">
        <v>14500</v>
      </c>
      <c r="C69" s="11" t="str">
        <f t="shared" si="3"/>
        <v>Nível 2</v>
      </c>
    </row>
    <row r="70" spans="1:3" x14ac:dyDescent="0.3">
      <c r="A70" s="1" t="s">
        <v>103</v>
      </c>
      <c r="B70" s="5">
        <v>10100</v>
      </c>
      <c r="C70" s="11" t="str">
        <f t="shared" si="3"/>
        <v>Nível 2</v>
      </c>
    </row>
    <row r="71" spans="1:3" x14ac:dyDescent="0.3">
      <c r="A71" s="1" t="s">
        <v>104</v>
      </c>
      <c r="B71" s="5">
        <v>13900</v>
      </c>
      <c r="C71" s="11" t="str">
        <f t="shared" si="3"/>
        <v>Nível 2</v>
      </c>
    </row>
    <row r="72" spans="1:3" x14ac:dyDescent="0.3">
      <c r="A72" s="1" t="s">
        <v>105</v>
      </c>
      <c r="B72" s="5">
        <v>5400</v>
      </c>
      <c r="C72" s="11" t="str">
        <f t="shared" si="3"/>
        <v>Nível 1</v>
      </c>
    </row>
    <row r="73" spans="1:3" x14ac:dyDescent="0.3">
      <c r="A73" s="1" t="s">
        <v>106</v>
      </c>
      <c r="B73" s="5">
        <v>8100</v>
      </c>
      <c r="C73" s="11" t="str">
        <f t="shared" si="3"/>
        <v>Nível 1</v>
      </c>
    </row>
    <row r="74" spans="1:3" x14ac:dyDescent="0.3">
      <c r="A74" s="1" t="s">
        <v>107</v>
      </c>
      <c r="B74" s="5">
        <v>11600</v>
      </c>
      <c r="C74" s="11" t="str">
        <f t="shared" si="3"/>
        <v>Nível 2</v>
      </c>
    </row>
    <row r="75" spans="1:3" x14ac:dyDescent="0.3">
      <c r="A75" s="1" t="s">
        <v>108</v>
      </c>
      <c r="B75" s="5">
        <v>14100</v>
      </c>
      <c r="C75" s="11" t="str">
        <f t="shared" si="3"/>
        <v>Nível 2</v>
      </c>
    </row>
    <row r="76" spans="1:3" x14ac:dyDescent="0.3">
      <c r="A76" s="1" t="s">
        <v>109</v>
      </c>
      <c r="B76" s="5">
        <v>14600</v>
      </c>
      <c r="C76" s="11" t="str">
        <f t="shared" si="3"/>
        <v>Nível 2</v>
      </c>
    </row>
    <row r="77" spans="1:3" x14ac:dyDescent="0.3">
      <c r="A77" s="1" t="s">
        <v>110</v>
      </c>
      <c r="B77" s="5">
        <v>9300</v>
      </c>
      <c r="C77" s="11" t="str">
        <f t="shared" si="3"/>
        <v>Nível 2</v>
      </c>
    </row>
    <row r="78" spans="1:3" x14ac:dyDescent="0.3">
      <c r="A78" s="1" t="s">
        <v>111</v>
      </c>
      <c r="B78" s="5">
        <v>9400</v>
      </c>
      <c r="C78" s="11" t="str">
        <f t="shared" si="3"/>
        <v>Nível 2</v>
      </c>
    </row>
    <row r="79" spans="1:3" x14ac:dyDescent="0.3">
      <c r="A79" s="1" t="s">
        <v>112</v>
      </c>
      <c r="B79" s="5">
        <v>6400</v>
      </c>
      <c r="C79" s="11" t="str">
        <f t="shared" si="3"/>
        <v>Nível 1</v>
      </c>
    </row>
    <row r="80" spans="1:3" x14ac:dyDescent="0.3">
      <c r="A80" s="1" t="s">
        <v>113</v>
      </c>
      <c r="B80" s="5">
        <v>3800</v>
      </c>
      <c r="C80" s="11" t="str">
        <f t="shared" si="3"/>
        <v>Nível 1</v>
      </c>
    </row>
    <row r="81" spans="1:3" x14ac:dyDescent="0.3">
      <c r="A81" s="1" t="s">
        <v>114</v>
      </c>
      <c r="B81" s="5">
        <v>10700</v>
      </c>
      <c r="C81" s="11" t="str">
        <f t="shared" si="3"/>
        <v>Nível 2</v>
      </c>
    </row>
    <row r="82" spans="1:3" x14ac:dyDescent="0.3">
      <c r="A82" s="1" t="s">
        <v>115</v>
      </c>
      <c r="B82" s="5">
        <v>8200</v>
      </c>
      <c r="C82" s="11" t="str">
        <f t="shared" si="3"/>
        <v>Nível 1</v>
      </c>
    </row>
    <row r="83" spans="1:3" x14ac:dyDescent="0.3">
      <c r="A83" s="1" t="s">
        <v>116</v>
      </c>
      <c r="B83" s="5">
        <v>8300</v>
      </c>
      <c r="C83" s="11" t="str">
        <f t="shared" si="3"/>
        <v>Nível 2</v>
      </c>
    </row>
    <row r="84" spans="1:3" x14ac:dyDescent="0.3">
      <c r="A84" s="1" t="s">
        <v>117</v>
      </c>
      <c r="B84" s="5">
        <v>12900</v>
      </c>
      <c r="C84" s="11" t="str">
        <f t="shared" si="3"/>
        <v>Nível 2</v>
      </c>
    </row>
    <row r="85" spans="1:3" x14ac:dyDescent="0.3">
      <c r="A85" s="1" t="s">
        <v>118</v>
      </c>
      <c r="B85" s="5">
        <v>6600</v>
      </c>
      <c r="C85" s="11" t="str">
        <f t="shared" si="3"/>
        <v>Nível 1</v>
      </c>
    </row>
    <row r="86" spans="1:3" x14ac:dyDescent="0.3">
      <c r="A86" s="1" t="s">
        <v>119</v>
      </c>
      <c r="B86" s="5">
        <v>6100</v>
      </c>
      <c r="C86" s="11" t="str">
        <f t="shared" si="3"/>
        <v>Nível 1</v>
      </c>
    </row>
    <row r="87" spans="1:3" x14ac:dyDescent="0.3">
      <c r="A87" s="1" t="s">
        <v>120</v>
      </c>
      <c r="B87" s="5">
        <v>4600</v>
      </c>
      <c r="C87" s="11" t="str">
        <f t="shared" si="3"/>
        <v>Nível 1</v>
      </c>
    </row>
    <row r="88" spans="1:3" x14ac:dyDescent="0.3">
      <c r="A88" s="1" t="s">
        <v>121</v>
      </c>
      <c r="B88" s="5">
        <v>14900</v>
      </c>
      <c r="C88" s="11" t="str">
        <f t="shared" si="3"/>
        <v>Nível 2</v>
      </c>
    </row>
    <row r="89" spans="1:3" x14ac:dyDescent="0.3">
      <c r="A89" s="1" t="s">
        <v>122</v>
      </c>
      <c r="B89" s="5">
        <v>9800</v>
      </c>
      <c r="C89" s="11" t="str">
        <f t="shared" si="3"/>
        <v>Nível 2</v>
      </c>
    </row>
    <row r="90" spans="1:3" x14ac:dyDescent="0.3">
      <c r="A90" s="1" t="s">
        <v>123</v>
      </c>
      <c r="B90" s="5">
        <v>14500</v>
      </c>
      <c r="C90" s="11" t="str">
        <f t="shared" si="3"/>
        <v>Nível 2</v>
      </c>
    </row>
    <row r="91" spans="1:3" x14ac:dyDescent="0.3">
      <c r="A91" s="1" t="s">
        <v>124</v>
      </c>
      <c r="B91" s="5">
        <v>14500</v>
      </c>
      <c r="C91" s="11" t="str">
        <f t="shared" si="3"/>
        <v>Nível 2</v>
      </c>
    </row>
    <row r="92" spans="1:3" x14ac:dyDescent="0.3">
      <c r="A92" s="1" t="s">
        <v>125</v>
      </c>
      <c r="B92" s="5">
        <v>3800</v>
      </c>
      <c r="C92" s="11" t="str">
        <f t="shared" si="3"/>
        <v>Nível 1</v>
      </c>
    </row>
    <row r="93" spans="1:3" x14ac:dyDescent="0.3">
      <c r="A93" s="1" t="s">
        <v>126</v>
      </c>
      <c r="B93" s="5">
        <v>10200</v>
      </c>
      <c r="C93" s="11" t="str">
        <f t="shared" si="3"/>
        <v>Nível 2</v>
      </c>
    </row>
    <row r="94" spans="1:3" x14ac:dyDescent="0.3">
      <c r="A94" s="1" t="s">
        <v>127</v>
      </c>
      <c r="B94" s="5">
        <v>14900</v>
      </c>
      <c r="C94" s="11" t="str">
        <f t="shared" si="3"/>
        <v>Nível 2</v>
      </c>
    </row>
    <row r="95" spans="1:3" x14ac:dyDescent="0.3">
      <c r="A95" s="1" t="s">
        <v>128</v>
      </c>
      <c r="B95" s="5">
        <v>4000</v>
      </c>
      <c r="C95" s="11" t="str">
        <f t="shared" si="3"/>
        <v>Nível 1</v>
      </c>
    </row>
    <row r="96" spans="1:3" x14ac:dyDescent="0.3">
      <c r="A96" s="1" t="s">
        <v>129</v>
      </c>
      <c r="B96" s="5">
        <v>8500</v>
      </c>
      <c r="C96" s="11" t="str">
        <f t="shared" si="3"/>
        <v>Nível 2</v>
      </c>
    </row>
    <row r="97" spans="1:3" x14ac:dyDescent="0.3">
      <c r="A97" s="1" t="s">
        <v>130</v>
      </c>
      <c r="B97" s="5">
        <v>13700</v>
      </c>
      <c r="C97" s="11" t="str">
        <f t="shared" si="3"/>
        <v>Nível 2</v>
      </c>
    </row>
    <row r="98" spans="1:3" x14ac:dyDescent="0.3">
      <c r="A98" s="1" t="s">
        <v>131</v>
      </c>
      <c r="B98" s="5">
        <v>14300</v>
      </c>
      <c r="C98" s="11" t="str">
        <f t="shared" ref="C98:C129" si="4">IF(B98&lt;=$J$2,$K$2,$K$3)</f>
        <v>Nível 2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8"/>
  <sheetViews>
    <sheetView showGridLines="0" tabSelected="1" zoomScale="120" zoomScaleNormal="120" workbookViewId="0"/>
  </sheetViews>
  <sheetFormatPr defaultRowHeight="14.4" x14ac:dyDescent="0.3"/>
  <cols>
    <col min="1" max="1" width="20.5546875" customWidth="1"/>
    <col min="2" max="2" width="10" customWidth="1"/>
    <col min="3" max="3" width="16.6640625" customWidth="1"/>
    <col min="9" max="11" width="12.6640625" customWidth="1"/>
  </cols>
  <sheetData>
    <row r="1" spans="1:11" x14ac:dyDescent="0.3">
      <c r="A1" s="6" t="s">
        <v>34</v>
      </c>
      <c r="B1" s="6" t="s">
        <v>3</v>
      </c>
      <c r="C1" s="15" t="s">
        <v>142</v>
      </c>
      <c r="I1" s="13" t="s">
        <v>143</v>
      </c>
      <c r="J1" s="13" t="s">
        <v>144</v>
      </c>
      <c r="K1" s="13" t="s">
        <v>142</v>
      </c>
    </row>
    <row r="2" spans="1:11" x14ac:dyDescent="0.3">
      <c r="A2" s="1" t="s">
        <v>35</v>
      </c>
      <c r="B2" s="5">
        <v>4400</v>
      </c>
      <c r="C2" s="11" t="str">
        <f>IF(B2&lt;=$J$2,$K$2,IF(B2&lt;=$J$3,$K$3,IF(B2&lt;=$J$4,$K$4,$K$5)))</f>
        <v>Nível 1</v>
      </c>
      <c r="I2" s="17">
        <v>0</v>
      </c>
      <c r="J2" s="17">
        <v>8250</v>
      </c>
      <c r="K2" s="18" t="s">
        <v>145</v>
      </c>
    </row>
    <row r="3" spans="1:11" x14ac:dyDescent="0.3">
      <c r="A3" s="1" t="s">
        <v>36</v>
      </c>
      <c r="B3" s="5">
        <v>4800</v>
      </c>
      <c r="C3" s="11" t="str">
        <f t="shared" ref="C3:C66" si="0">IF(B3&lt;=$J$2,$K$2,IF(B3&lt;=$J$3,$K$3,IF(B3&lt;=$J$4,$K$4,$K$5)))</f>
        <v>Nível 1</v>
      </c>
      <c r="I3" s="17">
        <v>8251</v>
      </c>
      <c r="J3" s="17">
        <v>12000</v>
      </c>
      <c r="K3" s="18" t="s">
        <v>147</v>
      </c>
    </row>
    <row r="4" spans="1:11" x14ac:dyDescent="0.3">
      <c r="A4" s="1" t="s">
        <v>37</v>
      </c>
      <c r="B4" s="5">
        <v>14500</v>
      </c>
      <c r="C4" s="11" t="str">
        <f t="shared" si="0"/>
        <v>Nível 3</v>
      </c>
      <c r="I4" s="17">
        <v>12001</v>
      </c>
      <c r="J4" s="17">
        <v>18250</v>
      </c>
      <c r="K4" s="18" t="s">
        <v>148</v>
      </c>
    </row>
    <row r="5" spans="1:11" x14ac:dyDescent="0.3">
      <c r="A5" s="1" t="s">
        <v>38</v>
      </c>
      <c r="B5" s="5">
        <v>6000</v>
      </c>
      <c r="C5" s="11" t="str">
        <f t="shared" si="0"/>
        <v>Nível 1</v>
      </c>
      <c r="I5" s="17">
        <v>18251</v>
      </c>
      <c r="J5" s="17" t="s">
        <v>146</v>
      </c>
      <c r="K5" s="18" t="s">
        <v>149</v>
      </c>
    </row>
    <row r="6" spans="1:11" x14ac:dyDescent="0.3">
      <c r="A6" s="1" t="s">
        <v>39</v>
      </c>
      <c r="B6" s="5">
        <v>8500</v>
      </c>
      <c r="C6" s="11" t="str">
        <f t="shared" si="0"/>
        <v>Nível 2</v>
      </c>
    </row>
    <row r="7" spans="1:11" x14ac:dyDescent="0.3">
      <c r="A7" s="1" t="s">
        <v>40</v>
      </c>
      <c r="B7" s="5">
        <v>6400</v>
      </c>
      <c r="C7" s="11" t="str">
        <f t="shared" si="0"/>
        <v>Nível 1</v>
      </c>
    </row>
    <row r="8" spans="1:11" x14ac:dyDescent="0.3">
      <c r="A8" s="1" t="s">
        <v>41</v>
      </c>
      <c r="B8" s="5">
        <v>6200</v>
      </c>
      <c r="C8" s="11" t="str">
        <f t="shared" si="0"/>
        <v>Nível 1</v>
      </c>
    </row>
    <row r="9" spans="1:11" x14ac:dyDescent="0.3">
      <c r="A9" s="1" t="s">
        <v>42</v>
      </c>
      <c r="B9" s="5">
        <v>5200</v>
      </c>
      <c r="C9" s="11" t="str">
        <f t="shared" si="0"/>
        <v>Nível 1</v>
      </c>
    </row>
    <row r="10" spans="1:11" x14ac:dyDescent="0.3">
      <c r="A10" s="1" t="s">
        <v>43</v>
      </c>
      <c r="B10" s="5">
        <v>11300</v>
      </c>
      <c r="C10" s="11" t="str">
        <f t="shared" si="0"/>
        <v>Nível 2</v>
      </c>
    </row>
    <row r="11" spans="1:11" x14ac:dyDescent="0.3">
      <c r="A11" s="1" t="s">
        <v>44</v>
      </c>
      <c r="B11" s="5">
        <v>14900</v>
      </c>
      <c r="C11" s="11" t="str">
        <f t="shared" si="0"/>
        <v>Nível 3</v>
      </c>
    </row>
    <row r="12" spans="1:11" x14ac:dyDescent="0.3">
      <c r="A12" s="1" t="s">
        <v>45</v>
      </c>
      <c r="B12" s="5">
        <v>11800</v>
      </c>
      <c r="C12" s="11" t="str">
        <f t="shared" si="0"/>
        <v>Nível 2</v>
      </c>
    </row>
    <row r="13" spans="1:11" x14ac:dyDescent="0.3">
      <c r="A13" s="1" t="s">
        <v>46</v>
      </c>
      <c r="B13" s="5">
        <v>11200</v>
      </c>
      <c r="C13" s="11" t="str">
        <f t="shared" si="0"/>
        <v>Nível 2</v>
      </c>
    </row>
    <row r="14" spans="1:11" x14ac:dyDescent="0.3">
      <c r="A14" s="1" t="s">
        <v>47</v>
      </c>
      <c r="B14" s="5">
        <v>8300</v>
      </c>
      <c r="C14" s="11" t="str">
        <f t="shared" si="0"/>
        <v>Nível 2</v>
      </c>
    </row>
    <row r="15" spans="1:11" x14ac:dyDescent="0.3">
      <c r="A15" s="1" t="s">
        <v>48</v>
      </c>
      <c r="B15" s="5">
        <v>13100</v>
      </c>
      <c r="C15" s="11" t="str">
        <f t="shared" si="0"/>
        <v>Nível 3</v>
      </c>
    </row>
    <row r="16" spans="1:11" x14ac:dyDescent="0.3">
      <c r="A16" s="1" t="s">
        <v>49</v>
      </c>
      <c r="B16" s="5">
        <v>10400</v>
      </c>
      <c r="C16" s="11" t="str">
        <f t="shared" si="0"/>
        <v>Nível 2</v>
      </c>
    </row>
    <row r="17" spans="1:3" x14ac:dyDescent="0.3">
      <c r="A17" s="1" t="s">
        <v>50</v>
      </c>
      <c r="B17" s="5">
        <v>9300</v>
      </c>
      <c r="C17" s="11" t="str">
        <f t="shared" si="0"/>
        <v>Nível 2</v>
      </c>
    </row>
    <row r="18" spans="1:3" x14ac:dyDescent="0.3">
      <c r="A18" s="1" t="s">
        <v>51</v>
      </c>
      <c r="B18" s="5">
        <v>11700</v>
      </c>
      <c r="C18" s="11" t="str">
        <f t="shared" si="0"/>
        <v>Nível 2</v>
      </c>
    </row>
    <row r="19" spans="1:3" x14ac:dyDescent="0.3">
      <c r="A19" s="1" t="s">
        <v>52</v>
      </c>
      <c r="B19" s="5">
        <v>9300</v>
      </c>
      <c r="C19" s="11" t="str">
        <f t="shared" si="0"/>
        <v>Nível 2</v>
      </c>
    </row>
    <row r="20" spans="1:3" x14ac:dyDescent="0.3">
      <c r="A20" s="1" t="s">
        <v>53</v>
      </c>
      <c r="B20" s="5">
        <v>10900</v>
      </c>
      <c r="C20" s="11" t="str">
        <f t="shared" si="0"/>
        <v>Nível 2</v>
      </c>
    </row>
    <row r="21" spans="1:3" x14ac:dyDescent="0.3">
      <c r="A21" s="1" t="s">
        <v>54</v>
      </c>
      <c r="B21" s="5">
        <v>7100</v>
      </c>
      <c r="C21" s="11" t="str">
        <f t="shared" si="0"/>
        <v>Nível 1</v>
      </c>
    </row>
    <row r="22" spans="1:3" x14ac:dyDescent="0.3">
      <c r="A22" s="1" t="s">
        <v>55</v>
      </c>
      <c r="B22" s="5">
        <v>4300</v>
      </c>
      <c r="C22" s="11" t="str">
        <f t="shared" si="0"/>
        <v>Nível 1</v>
      </c>
    </row>
    <row r="23" spans="1:3" x14ac:dyDescent="0.3">
      <c r="A23" s="1" t="s">
        <v>56</v>
      </c>
      <c r="B23" s="5">
        <v>3700</v>
      </c>
      <c r="C23" s="11" t="str">
        <f t="shared" si="0"/>
        <v>Nível 1</v>
      </c>
    </row>
    <row r="24" spans="1:3" x14ac:dyDescent="0.3">
      <c r="A24" s="1" t="s">
        <v>57</v>
      </c>
      <c r="B24" s="5">
        <v>5700</v>
      </c>
      <c r="C24" s="11" t="str">
        <f t="shared" si="0"/>
        <v>Nível 1</v>
      </c>
    </row>
    <row r="25" spans="1:3" x14ac:dyDescent="0.3">
      <c r="A25" s="1" t="s">
        <v>58</v>
      </c>
      <c r="B25" s="5">
        <v>8300</v>
      </c>
      <c r="C25" s="11" t="str">
        <f t="shared" si="0"/>
        <v>Nível 2</v>
      </c>
    </row>
    <row r="26" spans="1:3" x14ac:dyDescent="0.3">
      <c r="A26" s="1" t="s">
        <v>59</v>
      </c>
      <c r="B26" s="5">
        <v>9300</v>
      </c>
      <c r="C26" s="11" t="str">
        <f t="shared" si="0"/>
        <v>Nível 2</v>
      </c>
    </row>
    <row r="27" spans="1:3" x14ac:dyDescent="0.3">
      <c r="A27" s="1" t="s">
        <v>60</v>
      </c>
      <c r="B27" s="5">
        <v>9200</v>
      </c>
      <c r="C27" s="11" t="str">
        <f t="shared" si="0"/>
        <v>Nível 2</v>
      </c>
    </row>
    <row r="28" spans="1:3" x14ac:dyDescent="0.3">
      <c r="A28" s="1" t="s">
        <v>61</v>
      </c>
      <c r="B28" s="5">
        <v>8100</v>
      </c>
      <c r="C28" s="11" t="str">
        <f t="shared" si="0"/>
        <v>Nível 1</v>
      </c>
    </row>
    <row r="29" spans="1:3" x14ac:dyDescent="0.3">
      <c r="A29" s="1" t="s">
        <v>62</v>
      </c>
      <c r="B29" s="5">
        <v>7000</v>
      </c>
      <c r="C29" s="11" t="str">
        <f t="shared" si="0"/>
        <v>Nível 1</v>
      </c>
    </row>
    <row r="30" spans="1:3" x14ac:dyDescent="0.3">
      <c r="A30" s="1" t="s">
        <v>63</v>
      </c>
      <c r="B30" s="5">
        <v>9700</v>
      </c>
      <c r="C30" s="11" t="str">
        <f t="shared" si="0"/>
        <v>Nível 2</v>
      </c>
    </row>
    <row r="31" spans="1:3" x14ac:dyDescent="0.3">
      <c r="A31" s="1" t="s">
        <v>64</v>
      </c>
      <c r="B31" s="5">
        <v>5400</v>
      </c>
      <c r="C31" s="11" t="str">
        <f t="shared" si="0"/>
        <v>Nível 1</v>
      </c>
    </row>
    <row r="32" spans="1:3" x14ac:dyDescent="0.3">
      <c r="A32" s="1" t="s">
        <v>65</v>
      </c>
      <c r="B32" s="5">
        <v>6200</v>
      </c>
      <c r="C32" s="11" t="str">
        <f t="shared" si="0"/>
        <v>Nível 1</v>
      </c>
    </row>
    <row r="33" spans="1:3" x14ac:dyDescent="0.3">
      <c r="A33" s="1" t="s">
        <v>66</v>
      </c>
      <c r="B33" s="5">
        <v>6800</v>
      </c>
      <c r="C33" s="11" t="str">
        <f t="shared" si="0"/>
        <v>Nível 1</v>
      </c>
    </row>
    <row r="34" spans="1:3" x14ac:dyDescent="0.3">
      <c r="A34" s="1" t="s">
        <v>67</v>
      </c>
      <c r="B34" s="5">
        <v>11800</v>
      </c>
      <c r="C34" s="11" t="str">
        <f t="shared" si="0"/>
        <v>Nível 2</v>
      </c>
    </row>
    <row r="35" spans="1:3" x14ac:dyDescent="0.3">
      <c r="A35" s="1" t="s">
        <v>68</v>
      </c>
      <c r="B35" s="5">
        <v>4100</v>
      </c>
      <c r="C35" s="11" t="str">
        <f t="shared" si="0"/>
        <v>Nível 1</v>
      </c>
    </row>
    <row r="36" spans="1:3" x14ac:dyDescent="0.3">
      <c r="A36" s="1" t="s">
        <v>69</v>
      </c>
      <c r="B36" s="5">
        <v>11200</v>
      </c>
      <c r="C36" s="11" t="str">
        <f t="shared" si="0"/>
        <v>Nível 2</v>
      </c>
    </row>
    <row r="37" spans="1:3" x14ac:dyDescent="0.3">
      <c r="A37" s="1" t="s">
        <v>70</v>
      </c>
      <c r="B37" s="5">
        <v>13500</v>
      </c>
      <c r="C37" s="11" t="str">
        <f t="shared" si="0"/>
        <v>Nível 3</v>
      </c>
    </row>
    <row r="38" spans="1:3" x14ac:dyDescent="0.3">
      <c r="A38" s="1" t="s">
        <v>71</v>
      </c>
      <c r="B38" s="5">
        <v>12800</v>
      </c>
      <c r="C38" s="11" t="str">
        <f t="shared" si="0"/>
        <v>Nível 3</v>
      </c>
    </row>
    <row r="39" spans="1:3" x14ac:dyDescent="0.3">
      <c r="A39" s="1" t="s">
        <v>72</v>
      </c>
      <c r="B39" s="5">
        <v>3800</v>
      </c>
      <c r="C39" s="11" t="str">
        <f t="shared" si="0"/>
        <v>Nível 1</v>
      </c>
    </row>
    <row r="40" spans="1:3" x14ac:dyDescent="0.3">
      <c r="A40" s="1" t="s">
        <v>73</v>
      </c>
      <c r="B40" s="5">
        <v>12000</v>
      </c>
      <c r="C40" s="11" t="str">
        <f t="shared" si="0"/>
        <v>Nível 2</v>
      </c>
    </row>
    <row r="41" spans="1:3" x14ac:dyDescent="0.3">
      <c r="A41" s="1" t="s">
        <v>74</v>
      </c>
      <c r="B41" s="5">
        <v>11500</v>
      </c>
      <c r="C41" s="11" t="str">
        <f t="shared" si="0"/>
        <v>Nível 2</v>
      </c>
    </row>
    <row r="42" spans="1:3" x14ac:dyDescent="0.3">
      <c r="A42" s="1" t="s">
        <v>75</v>
      </c>
      <c r="B42" s="5">
        <v>5700</v>
      </c>
      <c r="C42" s="11" t="str">
        <f t="shared" si="0"/>
        <v>Nível 1</v>
      </c>
    </row>
    <row r="43" spans="1:3" x14ac:dyDescent="0.3">
      <c r="A43" s="1" t="s">
        <v>76</v>
      </c>
      <c r="B43" s="5">
        <v>4300</v>
      </c>
      <c r="C43" s="11" t="str">
        <f t="shared" si="0"/>
        <v>Nível 1</v>
      </c>
    </row>
    <row r="44" spans="1:3" x14ac:dyDescent="0.3">
      <c r="A44" s="1" t="s">
        <v>77</v>
      </c>
      <c r="B44" s="5">
        <v>8300</v>
      </c>
      <c r="C44" s="11" t="str">
        <f t="shared" si="0"/>
        <v>Nível 2</v>
      </c>
    </row>
    <row r="45" spans="1:3" x14ac:dyDescent="0.3">
      <c r="A45" s="1" t="s">
        <v>78</v>
      </c>
      <c r="B45" s="5">
        <v>9400</v>
      </c>
      <c r="C45" s="11" t="str">
        <f t="shared" si="0"/>
        <v>Nível 2</v>
      </c>
    </row>
    <row r="46" spans="1:3" x14ac:dyDescent="0.3">
      <c r="A46" s="1" t="s">
        <v>79</v>
      </c>
      <c r="B46" s="5">
        <v>14900</v>
      </c>
      <c r="C46" s="11" t="str">
        <f t="shared" si="0"/>
        <v>Nível 3</v>
      </c>
    </row>
    <row r="47" spans="1:3" x14ac:dyDescent="0.3">
      <c r="A47" s="1" t="s">
        <v>80</v>
      </c>
      <c r="B47" s="5">
        <v>5000</v>
      </c>
      <c r="C47" s="11" t="str">
        <f t="shared" si="0"/>
        <v>Nível 1</v>
      </c>
    </row>
    <row r="48" spans="1:3" x14ac:dyDescent="0.3">
      <c r="A48" s="1" t="s">
        <v>81</v>
      </c>
      <c r="B48" s="5">
        <v>12500</v>
      </c>
      <c r="C48" s="11" t="str">
        <f t="shared" si="0"/>
        <v>Nível 3</v>
      </c>
    </row>
    <row r="49" spans="1:3" x14ac:dyDescent="0.3">
      <c r="A49" s="1" t="s">
        <v>82</v>
      </c>
      <c r="B49" s="5">
        <v>11700</v>
      </c>
      <c r="C49" s="11" t="str">
        <f t="shared" si="0"/>
        <v>Nível 2</v>
      </c>
    </row>
    <row r="50" spans="1:3" x14ac:dyDescent="0.3">
      <c r="A50" s="1" t="s">
        <v>83</v>
      </c>
      <c r="B50" s="5">
        <v>11000</v>
      </c>
      <c r="C50" s="11" t="str">
        <f t="shared" si="0"/>
        <v>Nível 2</v>
      </c>
    </row>
    <row r="51" spans="1:3" x14ac:dyDescent="0.3">
      <c r="A51" s="1" t="s">
        <v>84</v>
      </c>
      <c r="B51" s="5">
        <v>5200</v>
      </c>
      <c r="C51" s="11" t="str">
        <f t="shared" si="0"/>
        <v>Nível 1</v>
      </c>
    </row>
    <row r="52" spans="1:3" x14ac:dyDescent="0.3">
      <c r="A52" s="1" t="s">
        <v>85</v>
      </c>
      <c r="B52" s="5">
        <v>14400</v>
      </c>
      <c r="C52" s="11" t="str">
        <f t="shared" si="0"/>
        <v>Nível 3</v>
      </c>
    </row>
    <row r="53" spans="1:3" x14ac:dyDescent="0.3">
      <c r="A53" s="1" t="s">
        <v>86</v>
      </c>
      <c r="B53" s="5">
        <v>5000</v>
      </c>
      <c r="C53" s="11" t="str">
        <f t="shared" si="0"/>
        <v>Nível 1</v>
      </c>
    </row>
    <row r="54" spans="1:3" x14ac:dyDescent="0.3">
      <c r="A54" s="1" t="s">
        <v>87</v>
      </c>
      <c r="B54" s="5">
        <v>13600</v>
      </c>
      <c r="C54" s="11" t="str">
        <f t="shared" si="0"/>
        <v>Nível 3</v>
      </c>
    </row>
    <row r="55" spans="1:3" x14ac:dyDescent="0.3">
      <c r="A55" s="1" t="s">
        <v>88</v>
      </c>
      <c r="B55" s="5">
        <v>9400</v>
      </c>
      <c r="C55" s="11" t="str">
        <f t="shared" si="0"/>
        <v>Nível 2</v>
      </c>
    </row>
    <row r="56" spans="1:3" x14ac:dyDescent="0.3">
      <c r="A56" s="1" t="s">
        <v>89</v>
      </c>
      <c r="B56" s="5">
        <v>10000</v>
      </c>
      <c r="C56" s="11" t="str">
        <f t="shared" si="0"/>
        <v>Nível 2</v>
      </c>
    </row>
    <row r="57" spans="1:3" x14ac:dyDescent="0.3">
      <c r="A57" s="1" t="s">
        <v>90</v>
      </c>
      <c r="B57" s="5">
        <v>9600</v>
      </c>
      <c r="C57" s="11" t="str">
        <f t="shared" si="0"/>
        <v>Nível 2</v>
      </c>
    </row>
    <row r="58" spans="1:3" x14ac:dyDescent="0.3">
      <c r="A58" s="1" t="s">
        <v>91</v>
      </c>
      <c r="B58" s="5">
        <v>7000</v>
      </c>
      <c r="C58" s="11" t="str">
        <f t="shared" si="0"/>
        <v>Nível 1</v>
      </c>
    </row>
    <row r="59" spans="1:3" x14ac:dyDescent="0.3">
      <c r="A59" s="1" t="s">
        <v>92</v>
      </c>
      <c r="B59" s="5">
        <v>4000</v>
      </c>
      <c r="C59" s="11" t="str">
        <f t="shared" si="0"/>
        <v>Nível 1</v>
      </c>
    </row>
    <row r="60" spans="1:3" x14ac:dyDescent="0.3">
      <c r="A60" s="1" t="s">
        <v>93</v>
      </c>
      <c r="B60" s="5">
        <v>9500</v>
      </c>
      <c r="C60" s="11" t="str">
        <f t="shared" si="0"/>
        <v>Nível 2</v>
      </c>
    </row>
    <row r="61" spans="1:3" x14ac:dyDescent="0.3">
      <c r="A61" s="1" t="s">
        <v>94</v>
      </c>
      <c r="B61" s="5">
        <v>14300</v>
      </c>
      <c r="C61" s="11" t="str">
        <f t="shared" si="0"/>
        <v>Nível 3</v>
      </c>
    </row>
    <row r="62" spans="1:3" x14ac:dyDescent="0.3">
      <c r="A62" s="1" t="s">
        <v>95</v>
      </c>
      <c r="B62" s="5">
        <v>11900</v>
      </c>
      <c r="C62" s="11" t="str">
        <f t="shared" si="0"/>
        <v>Nível 2</v>
      </c>
    </row>
    <row r="63" spans="1:3" x14ac:dyDescent="0.3">
      <c r="A63" s="1" t="s">
        <v>96</v>
      </c>
      <c r="B63" s="5">
        <v>5800</v>
      </c>
      <c r="C63" s="11" t="str">
        <f t="shared" si="0"/>
        <v>Nível 1</v>
      </c>
    </row>
    <row r="64" spans="1:3" x14ac:dyDescent="0.3">
      <c r="A64" s="1" t="s">
        <v>97</v>
      </c>
      <c r="B64" s="5">
        <v>7000</v>
      </c>
      <c r="C64" s="11" t="str">
        <f t="shared" si="0"/>
        <v>Nível 1</v>
      </c>
    </row>
    <row r="65" spans="1:3" x14ac:dyDescent="0.3">
      <c r="A65" s="1" t="s">
        <v>98</v>
      </c>
      <c r="B65" s="5">
        <v>4700</v>
      </c>
      <c r="C65" s="11" t="str">
        <f t="shared" si="0"/>
        <v>Nível 1</v>
      </c>
    </row>
    <row r="66" spans="1:3" x14ac:dyDescent="0.3">
      <c r="A66" s="1" t="s">
        <v>99</v>
      </c>
      <c r="B66" s="5">
        <v>13700</v>
      </c>
      <c r="C66" s="11" t="str">
        <f t="shared" si="0"/>
        <v>Nível 3</v>
      </c>
    </row>
    <row r="67" spans="1:3" x14ac:dyDescent="0.3">
      <c r="A67" s="1" t="s">
        <v>100</v>
      </c>
      <c r="B67" s="5">
        <v>5600</v>
      </c>
      <c r="C67" s="11" t="str">
        <f t="shared" ref="C67:C98" si="1">IF(B67&lt;=$J$2,$K$2,IF(B67&lt;=$J$3,$K$3,IF(B67&lt;=$J$4,$K$4,$K$5)))</f>
        <v>Nível 1</v>
      </c>
    </row>
    <row r="68" spans="1:3" x14ac:dyDescent="0.3">
      <c r="A68" s="1" t="s">
        <v>101</v>
      </c>
      <c r="B68" s="5">
        <v>13900</v>
      </c>
      <c r="C68" s="11" t="str">
        <f t="shared" si="1"/>
        <v>Nível 3</v>
      </c>
    </row>
    <row r="69" spans="1:3" x14ac:dyDescent="0.3">
      <c r="A69" s="1" t="s">
        <v>102</v>
      </c>
      <c r="B69" s="5">
        <v>14500</v>
      </c>
      <c r="C69" s="11" t="str">
        <f t="shared" si="1"/>
        <v>Nível 3</v>
      </c>
    </row>
    <row r="70" spans="1:3" x14ac:dyDescent="0.3">
      <c r="A70" s="1" t="s">
        <v>103</v>
      </c>
      <c r="B70" s="5">
        <v>10100</v>
      </c>
      <c r="C70" s="11" t="str">
        <f t="shared" si="1"/>
        <v>Nível 2</v>
      </c>
    </row>
    <row r="71" spans="1:3" x14ac:dyDescent="0.3">
      <c r="A71" s="1" t="s">
        <v>104</v>
      </c>
      <c r="B71" s="5">
        <v>13900</v>
      </c>
      <c r="C71" s="11" t="str">
        <f t="shared" si="1"/>
        <v>Nível 3</v>
      </c>
    </row>
    <row r="72" spans="1:3" x14ac:dyDescent="0.3">
      <c r="A72" s="1" t="s">
        <v>105</v>
      </c>
      <c r="B72" s="5">
        <v>5400</v>
      </c>
      <c r="C72" s="11" t="str">
        <f t="shared" si="1"/>
        <v>Nível 1</v>
      </c>
    </row>
    <row r="73" spans="1:3" x14ac:dyDescent="0.3">
      <c r="A73" s="1" t="s">
        <v>106</v>
      </c>
      <c r="B73" s="5">
        <v>8100</v>
      </c>
      <c r="C73" s="11" t="str">
        <f t="shared" si="1"/>
        <v>Nível 1</v>
      </c>
    </row>
    <row r="74" spans="1:3" x14ac:dyDescent="0.3">
      <c r="A74" s="1" t="s">
        <v>107</v>
      </c>
      <c r="B74" s="5">
        <v>11600</v>
      </c>
      <c r="C74" s="11" t="str">
        <f t="shared" si="1"/>
        <v>Nível 2</v>
      </c>
    </row>
    <row r="75" spans="1:3" x14ac:dyDescent="0.3">
      <c r="A75" s="1" t="s">
        <v>108</v>
      </c>
      <c r="B75" s="5">
        <v>14100</v>
      </c>
      <c r="C75" s="11" t="str">
        <f t="shared" si="1"/>
        <v>Nível 3</v>
      </c>
    </row>
    <row r="76" spans="1:3" x14ac:dyDescent="0.3">
      <c r="A76" s="1" t="s">
        <v>109</v>
      </c>
      <c r="B76" s="5">
        <v>14600</v>
      </c>
      <c r="C76" s="11" t="str">
        <f t="shared" si="1"/>
        <v>Nível 3</v>
      </c>
    </row>
    <row r="77" spans="1:3" x14ac:dyDescent="0.3">
      <c r="A77" s="1" t="s">
        <v>110</v>
      </c>
      <c r="B77" s="5">
        <v>9300</v>
      </c>
      <c r="C77" s="11" t="str">
        <f t="shared" si="1"/>
        <v>Nível 2</v>
      </c>
    </row>
    <row r="78" spans="1:3" x14ac:dyDescent="0.3">
      <c r="A78" s="1" t="s">
        <v>111</v>
      </c>
      <c r="B78" s="5">
        <v>9400</v>
      </c>
      <c r="C78" s="11" t="str">
        <f t="shared" si="1"/>
        <v>Nível 2</v>
      </c>
    </row>
    <row r="79" spans="1:3" x14ac:dyDescent="0.3">
      <c r="A79" s="1" t="s">
        <v>112</v>
      </c>
      <c r="B79" s="5">
        <v>6400</v>
      </c>
      <c r="C79" s="11" t="str">
        <f t="shared" si="1"/>
        <v>Nível 1</v>
      </c>
    </row>
    <row r="80" spans="1:3" x14ac:dyDescent="0.3">
      <c r="A80" s="1" t="s">
        <v>113</v>
      </c>
      <c r="B80" s="5">
        <v>3800</v>
      </c>
      <c r="C80" s="11" t="str">
        <f t="shared" si="1"/>
        <v>Nível 1</v>
      </c>
    </row>
    <row r="81" spans="1:3" x14ac:dyDescent="0.3">
      <c r="A81" s="1" t="s">
        <v>114</v>
      </c>
      <c r="B81" s="5">
        <v>10700</v>
      </c>
      <c r="C81" s="11" t="str">
        <f t="shared" si="1"/>
        <v>Nível 2</v>
      </c>
    </row>
    <row r="82" spans="1:3" x14ac:dyDescent="0.3">
      <c r="A82" s="1" t="s">
        <v>115</v>
      </c>
      <c r="B82" s="5">
        <v>8200</v>
      </c>
      <c r="C82" s="11" t="str">
        <f t="shared" si="1"/>
        <v>Nível 1</v>
      </c>
    </row>
    <row r="83" spans="1:3" x14ac:dyDescent="0.3">
      <c r="A83" s="1" t="s">
        <v>116</v>
      </c>
      <c r="B83" s="5">
        <v>8300</v>
      </c>
      <c r="C83" s="11" t="str">
        <f t="shared" si="1"/>
        <v>Nível 2</v>
      </c>
    </row>
    <row r="84" spans="1:3" x14ac:dyDescent="0.3">
      <c r="A84" s="1" t="s">
        <v>117</v>
      </c>
      <c r="B84" s="5">
        <v>12900</v>
      </c>
      <c r="C84" s="11" t="str">
        <f t="shared" si="1"/>
        <v>Nível 3</v>
      </c>
    </row>
    <row r="85" spans="1:3" x14ac:dyDescent="0.3">
      <c r="A85" s="1" t="s">
        <v>118</v>
      </c>
      <c r="B85" s="5">
        <v>6600</v>
      </c>
      <c r="C85" s="11" t="str">
        <f t="shared" si="1"/>
        <v>Nível 1</v>
      </c>
    </row>
    <row r="86" spans="1:3" x14ac:dyDescent="0.3">
      <c r="A86" s="1" t="s">
        <v>119</v>
      </c>
      <c r="B86" s="5">
        <v>6100</v>
      </c>
      <c r="C86" s="11" t="str">
        <f t="shared" si="1"/>
        <v>Nível 1</v>
      </c>
    </row>
    <row r="87" spans="1:3" x14ac:dyDescent="0.3">
      <c r="A87" s="1" t="s">
        <v>120</v>
      </c>
      <c r="B87" s="5">
        <v>4600</v>
      </c>
      <c r="C87" s="11" t="str">
        <f t="shared" si="1"/>
        <v>Nível 1</v>
      </c>
    </row>
    <row r="88" spans="1:3" x14ac:dyDescent="0.3">
      <c r="A88" s="1" t="s">
        <v>121</v>
      </c>
      <c r="B88" s="5">
        <v>14900</v>
      </c>
      <c r="C88" s="11" t="str">
        <f t="shared" si="1"/>
        <v>Nível 3</v>
      </c>
    </row>
    <row r="89" spans="1:3" x14ac:dyDescent="0.3">
      <c r="A89" s="1" t="s">
        <v>122</v>
      </c>
      <c r="B89" s="5">
        <v>9800</v>
      </c>
      <c r="C89" s="11" t="str">
        <f t="shared" si="1"/>
        <v>Nível 2</v>
      </c>
    </row>
    <row r="90" spans="1:3" x14ac:dyDescent="0.3">
      <c r="A90" s="1" t="s">
        <v>123</v>
      </c>
      <c r="B90" s="5">
        <v>14500</v>
      </c>
      <c r="C90" s="11" t="str">
        <f t="shared" si="1"/>
        <v>Nível 3</v>
      </c>
    </row>
    <row r="91" spans="1:3" x14ac:dyDescent="0.3">
      <c r="A91" s="1" t="s">
        <v>124</v>
      </c>
      <c r="B91" s="5">
        <v>14500</v>
      </c>
      <c r="C91" s="11" t="str">
        <f t="shared" si="1"/>
        <v>Nível 3</v>
      </c>
    </row>
    <row r="92" spans="1:3" x14ac:dyDescent="0.3">
      <c r="A92" s="1" t="s">
        <v>125</v>
      </c>
      <c r="B92" s="5">
        <v>3800</v>
      </c>
      <c r="C92" s="11" t="str">
        <f t="shared" si="1"/>
        <v>Nível 1</v>
      </c>
    </row>
    <row r="93" spans="1:3" x14ac:dyDescent="0.3">
      <c r="A93" s="1" t="s">
        <v>126</v>
      </c>
      <c r="B93" s="5">
        <v>10200</v>
      </c>
      <c r="C93" s="11" t="str">
        <f t="shared" si="1"/>
        <v>Nível 2</v>
      </c>
    </row>
    <row r="94" spans="1:3" x14ac:dyDescent="0.3">
      <c r="A94" s="1" t="s">
        <v>127</v>
      </c>
      <c r="B94" s="5">
        <v>14900</v>
      </c>
      <c r="C94" s="11" t="str">
        <f t="shared" si="1"/>
        <v>Nível 3</v>
      </c>
    </row>
    <row r="95" spans="1:3" x14ac:dyDescent="0.3">
      <c r="A95" s="1" t="s">
        <v>128</v>
      </c>
      <c r="B95" s="5">
        <v>4000</v>
      </c>
      <c r="C95" s="11" t="str">
        <f t="shared" si="1"/>
        <v>Nível 1</v>
      </c>
    </row>
    <row r="96" spans="1:3" x14ac:dyDescent="0.3">
      <c r="A96" s="1" t="s">
        <v>129</v>
      </c>
      <c r="B96" s="5">
        <v>8500</v>
      </c>
      <c r="C96" s="11" t="str">
        <f t="shared" si="1"/>
        <v>Nível 2</v>
      </c>
    </row>
    <row r="97" spans="1:3" x14ac:dyDescent="0.3">
      <c r="A97" s="1" t="s">
        <v>130</v>
      </c>
      <c r="B97" s="5">
        <v>13700</v>
      </c>
      <c r="C97" s="11" t="str">
        <f t="shared" si="1"/>
        <v>Nível 3</v>
      </c>
    </row>
    <row r="98" spans="1:3" x14ac:dyDescent="0.3">
      <c r="A98" s="1" t="s">
        <v>131</v>
      </c>
      <c r="B98" s="5">
        <v>14300</v>
      </c>
      <c r="C98" s="11" t="str">
        <f t="shared" si="1"/>
        <v>Nível 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CSV</vt:lpstr>
      <vt:lpstr>Formatado</vt:lpstr>
      <vt:lpstr>Análise 1 - CONT.SES</vt:lpstr>
      <vt:lpstr>Análise 2 - PROCV</vt:lpstr>
      <vt:lpstr>Análise 3 - PROCV</vt:lpstr>
      <vt:lpstr>Análise 4 - Função SE</vt:lpstr>
      <vt:lpstr>Análise 5 - Função 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Paulo Ferreira Martins</dc:creator>
  <cp:lastModifiedBy>User</cp:lastModifiedBy>
  <dcterms:created xsi:type="dcterms:W3CDTF">2023-01-23T15:42:11Z</dcterms:created>
  <dcterms:modified xsi:type="dcterms:W3CDTF">2026-06-10T19:05:04Z</dcterms:modified>
</cp:coreProperties>
</file>